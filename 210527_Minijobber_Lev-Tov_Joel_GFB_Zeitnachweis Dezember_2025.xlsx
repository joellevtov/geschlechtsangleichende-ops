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ellevtov-my.sharepoint.com/personal/joel_joellevtov_com/Documents/Journalism/GAC/geschlechtsangleichende-ops/"/>
    </mc:Choice>
  </mc:AlternateContent>
  <xr:revisionPtr revIDLastSave="37" documentId="8_{06223075-BE4F-B54D-8BD6-D73001A17D0C}" xr6:coauthVersionLast="47" xr6:coauthVersionMax="47" xr10:uidLastSave="{E4027B6B-C45A-494C-9389-2CA91D85B723}"/>
  <bookViews>
    <workbookView xWindow="0" yWindow="740" windowWidth="29400" windowHeight="17260" activeTab="1" xr2:uid="{0638EBFA-F974-4C04-B5B9-D301D10851CD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2" l="1"/>
  <c r="G59" i="2"/>
  <c r="I59" i="2" s="1"/>
  <c r="H58" i="2"/>
  <c r="G58" i="2"/>
  <c r="I58" i="2" s="1"/>
  <c r="H57" i="2"/>
  <c r="G57" i="2"/>
  <c r="I57" i="2" s="1"/>
  <c r="H56" i="2"/>
  <c r="G56" i="2"/>
  <c r="H55" i="2"/>
  <c r="G55" i="2"/>
  <c r="H54" i="2"/>
  <c r="G54" i="2"/>
  <c r="I54" i="2" s="1"/>
  <c r="H53" i="2"/>
  <c r="G53" i="2"/>
  <c r="G60" i="2" s="1"/>
  <c r="H48" i="2"/>
  <c r="G48" i="2"/>
  <c r="I48" i="2" s="1"/>
  <c r="H47" i="2"/>
  <c r="G47" i="2"/>
  <c r="I47" i="2" s="1"/>
  <c r="H46" i="2"/>
  <c r="G46" i="2"/>
  <c r="H45" i="2"/>
  <c r="G45" i="2"/>
  <c r="H44" i="2"/>
  <c r="G44" i="2"/>
  <c r="H43" i="2"/>
  <c r="G43" i="2"/>
  <c r="I43" i="2" s="1"/>
  <c r="H42" i="2"/>
  <c r="G42" i="2"/>
  <c r="H37" i="2"/>
  <c r="G37" i="2"/>
  <c r="I37" i="2" s="1"/>
  <c r="I36" i="2"/>
  <c r="H36" i="2"/>
  <c r="G36" i="2"/>
  <c r="H35" i="2"/>
  <c r="G35" i="2"/>
  <c r="H34" i="2"/>
  <c r="G34" i="2"/>
  <c r="H33" i="2"/>
  <c r="G33" i="2"/>
  <c r="I33" i="2" s="1"/>
  <c r="H32" i="2"/>
  <c r="G32" i="2"/>
  <c r="H31" i="2"/>
  <c r="G31" i="2"/>
  <c r="H26" i="2"/>
  <c r="G26" i="2"/>
  <c r="I26" i="2" s="1"/>
  <c r="H25" i="2"/>
  <c r="G25" i="2"/>
  <c r="I25" i="2" s="1"/>
  <c r="H24" i="2"/>
  <c r="G24" i="2"/>
  <c r="I24" i="2" s="1"/>
  <c r="H23" i="2"/>
  <c r="G23" i="2"/>
  <c r="I23" i="2" s="1"/>
  <c r="H22" i="2"/>
  <c r="G22" i="2"/>
  <c r="I21" i="2"/>
  <c r="H21" i="2"/>
  <c r="G21" i="2"/>
  <c r="H20" i="2"/>
  <c r="G20" i="2"/>
  <c r="H15" i="2"/>
  <c r="G15" i="2"/>
  <c r="I15" i="2" s="1"/>
  <c r="H14" i="2"/>
  <c r="G14" i="2"/>
  <c r="I14" i="2" s="1"/>
  <c r="H13" i="2"/>
  <c r="G13" i="2"/>
  <c r="I13" i="2" s="1"/>
  <c r="H12" i="2"/>
  <c r="G12" i="2"/>
  <c r="I12" i="2" s="1"/>
  <c r="H11" i="2"/>
  <c r="G11" i="2"/>
  <c r="H10" i="2"/>
  <c r="G10" i="2"/>
  <c r="H9" i="2"/>
  <c r="G9" i="2"/>
  <c r="H8" i="2"/>
  <c r="G8" i="2"/>
  <c r="I8" i="2" s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H59" i="1"/>
  <c r="G59" i="1"/>
  <c r="H58" i="1"/>
  <c r="G58" i="1"/>
  <c r="H57" i="1"/>
  <c r="G57" i="1"/>
  <c r="H56" i="1"/>
  <c r="G56" i="1"/>
  <c r="H55" i="1"/>
  <c r="G55" i="1"/>
  <c r="H54" i="1"/>
  <c r="G54" i="1"/>
  <c r="I54" i="1" s="1"/>
  <c r="H53" i="1"/>
  <c r="G53" i="1"/>
  <c r="I53" i="1" s="1"/>
  <c r="H48" i="1"/>
  <c r="G48" i="1"/>
  <c r="I48" i="1" s="1"/>
  <c r="H47" i="1"/>
  <c r="G47" i="1"/>
  <c r="I47" i="1" s="1"/>
  <c r="H46" i="1"/>
  <c r="G46" i="1"/>
  <c r="I46" i="1" s="1"/>
  <c r="H45" i="1"/>
  <c r="G45" i="1"/>
  <c r="H44" i="1"/>
  <c r="G44" i="1"/>
  <c r="H43" i="1"/>
  <c r="G43" i="1"/>
  <c r="H42" i="1"/>
  <c r="G42" i="1"/>
  <c r="I42" i="1" s="1"/>
  <c r="H37" i="1"/>
  <c r="G37" i="1"/>
  <c r="I37" i="1" s="1"/>
  <c r="H36" i="1"/>
  <c r="G36" i="1"/>
  <c r="I36" i="1" s="1"/>
  <c r="H35" i="1"/>
  <c r="G35" i="1"/>
  <c r="I35" i="1" s="1"/>
  <c r="H34" i="1"/>
  <c r="G34" i="1"/>
  <c r="I34" i="1" s="1"/>
  <c r="H33" i="1"/>
  <c r="G33" i="1"/>
  <c r="H32" i="1"/>
  <c r="G32" i="1"/>
  <c r="H31" i="1"/>
  <c r="G31" i="1"/>
  <c r="H26" i="1"/>
  <c r="G26" i="1"/>
  <c r="H25" i="1"/>
  <c r="G25" i="1"/>
  <c r="I25" i="1" s="1"/>
  <c r="H24" i="1"/>
  <c r="G24" i="1"/>
  <c r="I24" i="1" s="1"/>
  <c r="H23" i="1"/>
  <c r="G23" i="1"/>
  <c r="I23" i="1" s="1"/>
  <c r="H22" i="1"/>
  <c r="G22" i="1"/>
  <c r="H21" i="1"/>
  <c r="G21" i="1"/>
  <c r="H20" i="1"/>
  <c r="G20" i="1"/>
  <c r="I20" i="1" s="1"/>
  <c r="H8" i="1"/>
  <c r="G8" i="1"/>
  <c r="H60" i="2" l="1"/>
  <c r="I55" i="2"/>
  <c r="I20" i="2"/>
  <c r="I10" i="2"/>
  <c r="I11" i="2"/>
  <c r="G49" i="2"/>
  <c r="H49" i="2"/>
  <c r="I44" i="2"/>
  <c r="I45" i="2"/>
  <c r="I46" i="2"/>
  <c r="I56" i="2"/>
  <c r="I31" i="2"/>
  <c r="I34" i="2"/>
  <c r="G38" i="2"/>
  <c r="H38" i="2"/>
  <c r="I35" i="2"/>
  <c r="H27" i="2"/>
  <c r="I22" i="2"/>
  <c r="G16" i="2"/>
  <c r="H16" i="2"/>
  <c r="I27" i="2"/>
  <c r="I32" i="2"/>
  <c r="I38" i="2" s="1"/>
  <c r="I42" i="2"/>
  <c r="I53" i="2"/>
  <c r="I60" i="2" s="1"/>
  <c r="I9" i="2"/>
  <c r="I16" i="2" s="1"/>
  <c r="G27" i="2"/>
  <c r="I12" i="1"/>
  <c r="I33" i="1"/>
  <c r="I59" i="1"/>
  <c r="I31" i="1"/>
  <c r="I57" i="1"/>
  <c r="I58" i="1"/>
  <c r="I43" i="1"/>
  <c r="I56" i="1"/>
  <c r="I8" i="1"/>
  <c r="I32" i="1"/>
  <c r="I45" i="1"/>
  <c r="I15" i="1"/>
  <c r="I21" i="1"/>
  <c r="I14" i="1"/>
  <c r="I13" i="1"/>
  <c r="I11" i="1"/>
  <c r="I10" i="1"/>
  <c r="H16" i="1"/>
  <c r="G16" i="1"/>
  <c r="I9" i="1"/>
  <c r="G60" i="1"/>
  <c r="H38" i="1"/>
  <c r="H49" i="1"/>
  <c r="G27" i="1"/>
  <c r="H60" i="1"/>
  <c r="H27" i="1"/>
  <c r="G49" i="1"/>
  <c r="I26" i="1"/>
  <c r="I44" i="1"/>
  <c r="I49" i="1" s="1"/>
  <c r="G38" i="1"/>
  <c r="I22" i="1"/>
  <c r="I55" i="1"/>
  <c r="H61" i="2" l="1"/>
  <c r="I49" i="2"/>
  <c r="I61" i="2"/>
  <c r="G61" i="2"/>
  <c r="I38" i="1"/>
  <c r="I60" i="1"/>
  <c r="H61" i="1"/>
  <c r="G61" i="1"/>
  <c r="I16" i="1"/>
  <c r="I27" i="1"/>
  <c r="I61" i="1" l="1"/>
</calcChain>
</file>

<file path=xl/sharedStrings.xml><?xml version="1.0" encoding="utf-8"?>
<sst xmlns="http://schemas.openxmlformats.org/spreadsheetml/2006/main" count="237" uniqueCount="40">
  <si>
    <t xml:space="preserve">Aufzeichnung gemäß §17 Abs. 1 MiLoG für geringfügig Beschäftigte </t>
  </si>
  <si>
    <t>Monat / Jahr:</t>
  </si>
  <si>
    <t xml:space="preserve">Zeiterfassung </t>
  </si>
  <si>
    <t>Name</t>
  </si>
  <si>
    <t>Vorname</t>
  </si>
  <si>
    <t>PNR</t>
  </si>
  <si>
    <t>gelbe Felder sind Pflichtfelder</t>
  </si>
  <si>
    <t>KW</t>
  </si>
  <si>
    <t>Datum</t>
  </si>
  <si>
    <t>Wochentag</t>
  </si>
  <si>
    <t>Beginn</t>
  </si>
  <si>
    <t>Ende</t>
  </si>
  <si>
    <t>Pause von</t>
  </si>
  <si>
    <t>Pause bis</t>
  </si>
  <si>
    <t>Anwesenheit</t>
  </si>
  <si>
    <t>Pausenzeit</t>
  </si>
  <si>
    <t>Arbeitszeit</t>
  </si>
  <si>
    <t>Abwesenheit</t>
  </si>
  <si>
    <t>Montag</t>
  </si>
  <si>
    <t>Dienstag</t>
  </si>
  <si>
    <t>Mitwoch</t>
  </si>
  <si>
    <t>Donnerstag</t>
  </si>
  <si>
    <t>Freitag</t>
  </si>
  <si>
    <t xml:space="preserve">Samstag </t>
  </si>
  <si>
    <t>Sonntag</t>
  </si>
  <si>
    <t>Gesamt</t>
  </si>
  <si>
    <t>Gesamt Monat</t>
  </si>
  <si>
    <t xml:space="preserve">Vor- und Zuname: </t>
  </si>
  <si>
    <t>Ort, Datum</t>
  </si>
  <si>
    <t>Unterschrift Vorgesetzter</t>
  </si>
  <si>
    <t>Unterschrift Mitarbeiter</t>
  </si>
  <si>
    <t>Die Aufzeichnungen sind innerhalb von 7 Tagen nach dem jew. Tag der Arbeitsleistung zu erstellen und mind. 2 Jahre aufzubewahren.</t>
  </si>
  <si>
    <t xml:space="preserve">Nach Befüllung des Dokumentes bitte von Vorgesetztem gegenzeichnen lassen und über Vorgesetzten in der Personalabteilung (Referat) abgeben. </t>
  </si>
  <si>
    <t>Beispiel</t>
  </si>
  <si>
    <t>Joel</t>
  </si>
  <si>
    <t>Lev-Tov</t>
  </si>
  <si>
    <t>Feiertag</t>
  </si>
  <si>
    <t>Joel Lev-Tov</t>
  </si>
  <si>
    <t>Urlaub</t>
  </si>
  <si>
    <t>Krank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</si>
</sst>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9"/>
      <name val="Geneva"/>
      <family val="2"/>
    </font>
    <font>
      <b/>
      <sz val="12"/>
      <name val="Geneva"/>
      <family val="2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1" xfId="0" applyFont="1" applyBorder="1"/>
    <xf numFmtId="0" fontId="0" fillId="0" borderId="2" xfId="0" applyBorder="1"/>
    <xf numFmtId="49" fontId="4" fillId="2" borderId="2" xfId="0" applyNumberFormat="1" applyFont="1" applyFill="1" applyBorder="1"/>
    <xf numFmtId="49" fontId="5" fillId="3" borderId="2" xfId="0" applyNumberFormat="1" applyFont="1" applyFill="1" applyBorder="1" applyProtection="1">
      <protection locked="0"/>
    </xf>
    <xf numFmtId="0" fontId="0" fillId="0" borderId="3" xfId="0" applyBorder="1"/>
    <xf numFmtId="0" fontId="0" fillId="0" borderId="6" xfId="0" applyBorder="1"/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0" xfId="0" applyFont="1" applyFill="1" applyAlignment="1">
      <alignment vertical="top"/>
    </xf>
    <xf numFmtId="49" fontId="9" fillId="2" borderId="0" xfId="0" applyNumberFormat="1" applyFont="1" applyFill="1"/>
    <xf numFmtId="0" fontId="8" fillId="0" borderId="6" xfId="0" applyFont="1" applyBorder="1" applyAlignment="1">
      <alignment horizontal="left"/>
    </xf>
    <xf numFmtId="0" fontId="10" fillId="0" borderId="4" xfId="0" applyFont="1" applyBorder="1"/>
    <xf numFmtId="0" fontId="10" fillId="0" borderId="0" xfId="0" applyFont="1"/>
    <xf numFmtId="0" fontId="10" fillId="4" borderId="0" xfId="0" applyFont="1" applyFill="1"/>
    <xf numFmtId="0" fontId="10" fillId="4" borderId="6" xfId="0" applyFont="1" applyFill="1" applyBorder="1"/>
    <xf numFmtId="0" fontId="0" fillId="0" borderId="4" xfId="0" applyBorder="1"/>
    <xf numFmtId="0" fontId="3" fillId="3" borderId="0" xfId="0" applyFont="1" applyFill="1"/>
    <xf numFmtId="0" fontId="0" fillId="3" borderId="0" xfId="0" applyFill="1"/>
    <xf numFmtId="2" fontId="0" fillId="0" borderId="0" xfId="0" applyNumberFormat="1"/>
    <xf numFmtId="0" fontId="0" fillId="4" borderId="6" xfId="0" applyFill="1" applyBorder="1"/>
    <xf numFmtId="0" fontId="2" fillId="5" borderId="4" xfId="0" applyFont="1" applyFill="1" applyBorder="1"/>
    <xf numFmtId="0" fontId="2" fillId="3" borderId="0" xfId="0" applyFont="1" applyFill="1" applyAlignment="1" applyProtection="1">
      <alignment horizontal="left"/>
      <protection locked="0"/>
    </xf>
    <xf numFmtId="0" fontId="0" fillId="6" borderId="7" xfId="0" applyFill="1" applyBorder="1"/>
    <xf numFmtId="0" fontId="0" fillId="6" borderId="8" xfId="0" applyFill="1" applyBorder="1"/>
    <xf numFmtId="0" fontId="2" fillId="6" borderId="8" xfId="0" applyFont="1" applyFill="1" applyBorder="1"/>
    <xf numFmtId="2" fontId="2" fillId="6" borderId="8" xfId="0" applyNumberFormat="1" applyFont="1" applyFill="1" applyBorder="1"/>
    <xf numFmtId="2" fontId="2" fillId="6" borderId="9" xfId="0" applyNumberFormat="1" applyFont="1" applyFill="1" applyBorder="1"/>
    <xf numFmtId="0" fontId="0" fillId="0" borderId="8" xfId="0" applyBorder="1"/>
    <xf numFmtId="2" fontId="12" fillId="0" borderId="8" xfId="0" applyNumberFormat="1" applyFont="1" applyBorder="1" applyAlignment="1">
      <alignment horizontal="center"/>
    </xf>
    <xf numFmtId="14" fontId="0" fillId="3" borderId="7" xfId="0" applyNumberFormat="1" applyFill="1" applyBorder="1" applyProtection="1">
      <protection locked="0"/>
    </xf>
    <xf numFmtId="164" fontId="13" fillId="3" borderId="8" xfId="0" applyNumberFormat="1" applyFont="1" applyFill="1" applyBorder="1" applyAlignment="1" applyProtection="1">
      <alignment horizontal="center"/>
      <protection locked="0"/>
    </xf>
    <xf numFmtId="2" fontId="0" fillId="0" borderId="8" xfId="0" applyNumberForma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0" fontId="1" fillId="3" borderId="9" xfId="0" applyFont="1" applyFill="1" applyBorder="1" applyProtection="1">
      <protection locked="0"/>
    </xf>
    <xf numFmtId="164" fontId="0" fillId="3" borderId="8" xfId="0" applyNumberFormat="1" applyFill="1" applyBorder="1" applyAlignment="1" applyProtection="1">
      <alignment horizontal="center"/>
      <protection locked="0"/>
    </xf>
    <xf numFmtId="0" fontId="0" fillId="3" borderId="9" xfId="0" applyFill="1" applyBorder="1" applyProtection="1">
      <protection locked="0"/>
    </xf>
    <xf numFmtId="14" fontId="0" fillId="0" borderId="8" xfId="0" applyNumberFormat="1" applyBorder="1"/>
    <xf numFmtId="14" fontId="0" fillId="3" borderId="10" xfId="0" applyNumberFormat="1" applyFill="1" applyBorder="1" applyProtection="1">
      <protection locked="0"/>
    </xf>
    <xf numFmtId="164" fontId="0" fillId="3" borderId="11" xfId="0" applyNumberFormat="1" applyFill="1" applyBorder="1" applyAlignment="1" applyProtection="1">
      <alignment horizontal="center"/>
      <protection locked="0"/>
    </xf>
    <xf numFmtId="14" fontId="0" fillId="3" borderId="12" xfId="0" applyNumberFormat="1" applyFill="1" applyBorder="1" applyProtection="1">
      <protection locked="0"/>
    </xf>
    <xf numFmtId="0" fontId="0" fillId="0" borderId="13" xfId="0" applyBorder="1"/>
    <xf numFmtId="164" fontId="0" fillId="3" borderId="13" xfId="0" applyNumberFormat="1" applyFill="1" applyBorder="1" applyAlignment="1" applyProtection="1">
      <alignment horizontal="center"/>
      <protection locked="0"/>
    </xf>
    <xf numFmtId="2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2" fillId="7" borderId="0" xfId="0" applyNumberFormat="1" applyFont="1" applyFill="1" applyAlignment="1">
      <alignment horizontal="center"/>
    </xf>
    <xf numFmtId="2" fontId="14" fillId="7" borderId="0" xfId="0" applyNumberFormat="1" applyFont="1" applyFill="1" applyAlignment="1">
      <alignment horizontal="center"/>
    </xf>
    <xf numFmtId="0" fontId="0" fillId="7" borderId="6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2" fontId="2" fillId="6" borderId="8" xfId="0" applyNumberFormat="1" applyFont="1" applyFill="1" applyBorder="1" applyAlignment="1">
      <alignment horizontal="center"/>
    </xf>
    <xf numFmtId="0" fontId="12" fillId="3" borderId="9" xfId="0" applyFont="1" applyFill="1" applyBorder="1" applyProtection="1">
      <protection locked="0"/>
    </xf>
    <xf numFmtId="164" fontId="1" fillId="3" borderId="8" xfId="0" applyNumberFormat="1" applyFont="1" applyFill="1" applyBorder="1" applyAlignment="1" applyProtection="1">
      <alignment horizontal="center"/>
      <protection locked="0"/>
    </xf>
    <xf numFmtId="164" fontId="1" fillId="3" borderId="11" xfId="0" applyNumberFormat="1" applyFont="1" applyFill="1" applyBorder="1" applyAlignment="1" applyProtection="1">
      <alignment horizontal="center"/>
      <protection locked="0"/>
    </xf>
    <xf numFmtId="2" fontId="13" fillId="0" borderId="13" xfId="0" applyNumberFormat="1" applyFont="1" applyBorder="1" applyAlignment="1">
      <alignment horizontal="center"/>
    </xf>
    <xf numFmtId="164" fontId="0" fillId="3" borderId="14" xfId="0" applyNumberFormat="1" applyFill="1" applyBorder="1" applyAlignment="1" applyProtection="1">
      <alignment horizontal="center"/>
      <protection locked="0"/>
    </xf>
    <xf numFmtId="0" fontId="0" fillId="7" borderId="0" xfId="0" applyFill="1" applyAlignment="1">
      <alignment horizontal="center"/>
    </xf>
    <xf numFmtId="2" fontId="2" fillId="7" borderId="6" xfId="0" applyNumberFormat="1" applyFont="1" applyFill="1" applyBorder="1" applyAlignment="1">
      <alignment horizontal="center"/>
    </xf>
    <xf numFmtId="0" fontId="2" fillId="4" borderId="15" xfId="0" applyFont="1" applyFill="1" applyBorder="1"/>
    <xf numFmtId="0" fontId="2" fillId="4" borderId="16" xfId="0" applyFont="1" applyFill="1" applyBorder="1"/>
    <xf numFmtId="0" fontId="0" fillId="4" borderId="17" xfId="0" applyFill="1" applyBorder="1"/>
    <xf numFmtId="0" fontId="2" fillId="4" borderId="18" xfId="0" applyFont="1" applyFill="1" applyBorder="1"/>
    <xf numFmtId="0" fontId="0" fillId="3" borderId="19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21" xfId="0" applyFill="1" applyBorder="1" applyProtection="1">
      <protection locked="0"/>
    </xf>
    <xf numFmtId="0" fontId="0" fillId="4" borderId="0" xfId="0" applyFill="1"/>
    <xf numFmtId="2" fontId="0" fillId="4" borderId="0" xfId="0" applyNumberFormat="1" applyFill="1"/>
    <xf numFmtId="0" fontId="0" fillId="0" borderId="22" xfId="0" applyBorder="1" applyProtection="1">
      <protection locked="0"/>
    </xf>
    <xf numFmtId="0" fontId="0" fillId="0" borderId="5" xfId="0" applyBorder="1" applyProtection="1">
      <protection locked="0"/>
    </xf>
    <xf numFmtId="0" fontId="0" fillId="4" borderId="5" xfId="0" applyFill="1" applyBorder="1"/>
    <xf numFmtId="2" fontId="0" fillId="4" borderId="5" xfId="0" applyNumberFormat="1" applyFill="1" applyBorder="1"/>
    <xf numFmtId="2" fontId="0" fillId="4" borderId="21" xfId="0" applyNumberFormat="1" applyFill="1" applyBorder="1"/>
    <xf numFmtId="14" fontId="4" fillId="0" borderId="4" xfId="0" applyNumberFormat="1" applyFont="1" applyBorder="1"/>
    <xf numFmtId="2" fontId="0" fillId="0" borderId="6" xfId="0" applyNumberFormat="1" applyBorder="1"/>
    <xf numFmtId="0" fontId="15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20" fontId="16" fillId="0" borderId="0" xfId="0" applyNumberFormat="1" applyFont="1" applyAlignment="1">
      <alignment horizontal="center" vertical="center"/>
    </xf>
    <xf numFmtId="20" fontId="16" fillId="0" borderId="6" xfId="0" applyNumberFormat="1" applyFont="1" applyBorder="1" applyAlignment="1">
      <alignment horizontal="center" vertical="center"/>
    </xf>
    <xf numFmtId="0" fontId="17" fillId="0" borderId="4" xfId="0" applyFont="1" applyBorder="1"/>
    <xf numFmtId="0" fontId="0" fillId="4" borderId="23" xfId="0" applyFill="1" applyBorder="1"/>
    <xf numFmtId="0" fontId="0" fillId="4" borderId="24" xfId="0" applyFill="1" applyBorder="1"/>
    <xf numFmtId="0" fontId="0" fillId="4" borderId="25" xfId="0" applyFill="1" applyBorder="1"/>
    <xf numFmtId="14" fontId="11" fillId="3" borderId="7" xfId="0" applyNumberFormat="1" applyFont="1" applyFill="1" applyBorder="1" applyProtection="1">
      <protection locked="0"/>
    </xf>
    <xf numFmtId="164" fontId="12" fillId="3" borderId="8" xfId="0" applyNumberFormat="1" applyFont="1" applyFill="1" applyBorder="1" applyAlignment="1" applyProtection="1">
      <alignment horizontal="center"/>
      <protection locked="0"/>
    </xf>
    <xf numFmtId="0" fontId="0" fillId="4" borderId="6" xfId="0" applyFill="1" applyBorder="1" applyProtection="1">
      <protection locked="0"/>
    </xf>
    <xf numFmtId="0" fontId="13" fillId="3" borderId="9" xfId="0" applyFont="1" applyFill="1" applyBorder="1" applyProtection="1">
      <protection locked="0"/>
    </xf>
    <xf numFmtId="164" fontId="13" fillId="3" borderId="11" xfId="0" applyNumberFormat="1" applyFont="1" applyFill="1" applyBorder="1" applyAlignment="1" applyProtection="1">
      <alignment horizontal="center"/>
      <protection locked="0"/>
    </xf>
    <xf numFmtId="164" fontId="13" fillId="3" borderId="13" xfId="0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3" borderId="19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3" borderId="5" xfId="0" applyFont="1" applyFill="1" applyBorder="1" applyAlignment="1" applyProtection="1">
      <alignment horizontal="left" vertical="center"/>
      <protection locked="0"/>
    </xf>
    <xf numFmtId="2" fontId="2" fillId="7" borderId="0" xfId="0" applyNumberFormat="1" applyFont="1" applyFill="1" applyAlignment="1">
      <alignment horizontal="center"/>
    </xf>
  </cellXfs>
  <cellStyles count="1">
    <cellStyle name="Normal" xfId="0" builtinId="0"/>
  </cellStyles>
  <dxfs count="1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488C-E135-441A-98C0-55B5E42333BF}">
  <sheetPr>
    <pageSetUpPr fitToPage="1"/>
  </sheetPr>
  <dimension ref="A1:J72"/>
  <sheetViews>
    <sheetView workbookViewId="0">
      <selection activeCell="C16" sqref="A1:XFD1048576"/>
    </sheetView>
  </sheetViews>
  <sheetFormatPr baseColWidth="10" defaultRowHeight="15" x14ac:dyDescent="0.2"/>
  <sheetData>
    <row r="1" spans="1:10" ht="29" x14ac:dyDescent="0.35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5"/>
    </row>
    <row r="2" spans="1:10" ht="29" x14ac:dyDescent="0.35">
      <c r="A2" s="95" t="s">
        <v>2</v>
      </c>
      <c r="B2" s="96"/>
      <c r="C2" s="96"/>
      <c r="D2" s="97" t="s">
        <v>34</v>
      </c>
      <c r="E2" s="97"/>
      <c r="F2" s="97" t="s">
        <v>35</v>
      </c>
      <c r="G2" s="97"/>
      <c r="H2" s="97">
        <v>20026159</v>
      </c>
      <c r="I2" s="97"/>
      <c r="J2" s="6"/>
    </row>
    <row r="3" spans="1:10" x14ac:dyDescent="0.2">
      <c r="A3" s="7"/>
      <c r="B3" s="8"/>
      <c r="C3" s="8"/>
      <c r="D3" s="9" t="s">
        <v>3</v>
      </c>
      <c r="E3" s="9"/>
      <c r="F3" s="9" t="s">
        <v>4</v>
      </c>
      <c r="G3" s="9"/>
      <c r="H3" s="9" t="s">
        <v>5</v>
      </c>
      <c r="I3" s="10"/>
      <c r="J3" s="11"/>
    </row>
    <row r="4" spans="1:10" x14ac:dyDescent="0.2">
      <c r="A4" s="12"/>
      <c r="B4" s="13"/>
      <c r="C4" s="13"/>
      <c r="D4" s="14"/>
      <c r="E4" s="14"/>
      <c r="F4" s="14"/>
      <c r="G4" s="14"/>
      <c r="H4" s="14"/>
      <c r="I4" s="14"/>
      <c r="J4" s="15"/>
    </row>
    <row r="5" spans="1:10" x14ac:dyDescent="0.2">
      <c r="A5" s="16"/>
      <c r="D5" s="17" t="s">
        <v>6</v>
      </c>
      <c r="E5" s="18"/>
      <c r="H5" s="19"/>
      <c r="J5" s="20"/>
    </row>
    <row r="6" spans="1:10" x14ac:dyDescent="0.2">
      <c r="A6" s="21" t="s">
        <v>7</v>
      </c>
      <c r="B6" s="22"/>
      <c r="H6" s="19"/>
      <c r="J6" s="20"/>
    </row>
    <row r="7" spans="1:10" x14ac:dyDescent="0.2">
      <c r="A7" s="23" t="s">
        <v>8</v>
      </c>
      <c r="B7" s="24" t="s">
        <v>9</v>
      </c>
      <c r="C7" s="25" t="s">
        <v>10</v>
      </c>
      <c r="D7" s="25" t="s">
        <v>11</v>
      </c>
      <c r="E7" s="25" t="s">
        <v>12</v>
      </c>
      <c r="F7" s="25" t="s">
        <v>13</v>
      </c>
      <c r="G7" s="26" t="s">
        <v>14</v>
      </c>
      <c r="H7" s="26" t="s">
        <v>15</v>
      </c>
      <c r="I7" s="26" t="s">
        <v>16</v>
      </c>
      <c r="J7" s="27" t="s">
        <v>17</v>
      </c>
    </row>
    <row r="8" spans="1:10" x14ac:dyDescent="0.2">
      <c r="A8" s="84">
        <v>44928</v>
      </c>
      <c r="B8" s="28" t="s">
        <v>18</v>
      </c>
      <c r="C8" s="85">
        <v>0.375</v>
      </c>
      <c r="D8" s="85">
        <v>0.70833333333333337</v>
      </c>
      <c r="E8" s="85">
        <v>0.5</v>
      </c>
      <c r="F8" s="85">
        <v>0.54166666666666663</v>
      </c>
      <c r="G8" s="29">
        <f t="shared" ref="G8" si="0">(D8-C8)*24</f>
        <v>8</v>
      </c>
      <c r="H8" s="29">
        <f>(F8-E8)*24</f>
        <v>0.99999999999999911</v>
      </c>
      <c r="I8" s="29">
        <f t="shared" ref="I8" si="1">G8-H8</f>
        <v>7.0000000000000009</v>
      </c>
      <c r="J8" s="52" t="s">
        <v>33</v>
      </c>
    </row>
    <row r="9" spans="1:10" x14ac:dyDescent="0.2">
      <c r="A9" s="90"/>
      <c r="B9" s="28" t="s">
        <v>18</v>
      </c>
      <c r="C9" s="31"/>
      <c r="D9" s="31"/>
      <c r="E9" s="31"/>
      <c r="F9" s="31"/>
      <c r="G9" s="33">
        <f t="shared" ref="G9:G15" si="2">(D9-C9)*24</f>
        <v>0</v>
      </c>
      <c r="H9" s="33">
        <f t="shared" ref="H9:H15" si="3">(F9-E9)*24</f>
        <v>0</v>
      </c>
      <c r="I9" s="33">
        <f t="shared" ref="I9:I15" si="4">G9-H9</f>
        <v>0</v>
      </c>
      <c r="J9" s="87"/>
    </row>
    <row r="10" spans="1:10" x14ac:dyDescent="0.2">
      <c r="A10" s="90"/>
      <c r="B10" s="28" t="s">
        <v>19</v>
      </c>
      <c r="C10" s="31"/>
      <c r="D10" s="31"/>
      <c r="E10" s="31"/>
      <c r="F10" s="31"/>
      <c r="G10" s="33">
        <f>(D10-C10)*24</f>
        <v>0</v>
      </c>
      <c r="H10" s="33">
        <f>(F10-E10)*24</f>
        <v>0</v>
      </c>
      <c r="I10" s="33">
        <f t="shared" si="4"/>
        <v>0</v>
      </c>
      <c r="J10" s="87"/>
    </row>
    <row r="11" spans="1:10" x14ac:dyDescent="0.2">
      <c r="A11" s="84">
        <v>45658</v>
      </c>
      <c r="B11" s="28" t="s">
        <v>20</v>
      </c>
      <c r="C11" s="31">
        <v>0.39583333333333331</v>
      </c>
      <c r="D11" s="31">
        <v>0.72916666666666663</v>
      </c>
      <c r="E11" s="31">
        <v>0.52083333333333337</v>
      </c>
      <c r="F11" s="31">
        <v>0.54166666666666663</v>
      </c>
      <c r="G11" s="33">
        <f>(D11-C11)*24</f>
        <v>8</v>
      </c>
      <c r="H11" s="33">
        <f>(F11-E11)*24</f>
        <v>0.49999999999999822</v>
      </c>
      <c r="I11" s="33">
        <f t="shared" si="4"/>
        <v>7.5000000000000018</v>
      </c>
      <c r="J11" s="87"/>
    </row>
    <row r="12" spans="1:10" x14ac:dyDescent="0.2">
      <c r="A12" s="30">
        <v>45932</v>
      </c>
      <c r="B12" s="37" t="s">
        <v>21</v>
      </c>
      <c r="C12" s="31">
        <v>0.39583333333333331</v>
      </c>
      <c r="D12" s="31">
        <v>0.72916666666666663</v>
      </c>
      <c r="E12" s="31">
        <v>0.52083333333333337</v>
      </c>
      <c r="F12" s="31">
        <v>0.54166666666666663</v>
      </c>
      <c r="G12" s="33">
        <f>(D12-C12)*24</f>
        <v>8</v>
      </c>
      <c r="H12" s="33">
        <f>(F12-E12)*24</f>
        <v>0.49999999999999822</v>
      </c>
      <c r="I12" s="33">
        <f t="shared" si="4"/>
        <v>7.5000000000000018</v>
      </c>
      <c r="J12" s="87"/>
    </row>
    <row r="13" spans="1:10" x14ac:dyDescent="0.2">
      <c r="A13" s="30">
        <v>45933</v>
      </c>
      <c r="B13" s="37" t="s">
        <v>22</v>
      </c>
      <c r="C13" s="88">
        <v>0.39583333333333331</v>
      </c>
      <c r="D13" s="88">
        <v>0.75</v>
      </c>
      <c r="E13" s="88">
        <v>0.52083333333333337</v>
      </c>
      <c r="F13" s="88">
        <v>0.54166666666666663</v>
      </c>
      <c r="G13" s="33">
        <f>(D13-C13)*24</f>
        <v>8.5</v>
      </c>
      <c r="H13" s="33">
        <f t="shared" si="3"/>
        <v>0.49999999999999822</v>
      </c>
      <c r="I13" s="33">
        <f t="shared" si="4"/>
        <v>8.0000000000000018</v>
      </c>
      <c r="J13" s="87" t="s">
        <v>36</v>
      </c>
    </row>
    <row r="14" spans="1:10" x14ac:dyDescent="0.2">
      <c r="A14" s="38"/>
      <c r="B14" s="37" t="s">
        <v>23</v>
      </c>
      <c r="C14" s="88"/>
      <c r="D14" s="88"/>
      <c r="E14" s="88"/>
      <c r="F14" s="88"/>
      <c r="G14" s="33">
        <f t="shared" si="2"/>
        <v>0</v>
      </c>
      <c r="H14" s="33">
        <f t="shared" si="3"/>
        <v>0</v>
      </c>
      <c r="I14" s="33">
        <f t="shared" si="4"/>
        <v>0</v>
      </c>
      <c r="J14" s="87"/>
    </row>
    <row r="15" spans="1:10" x14ac:dyDescent="0.2">
      <c r="A15" s="40"/>
      <c r="B15" s="41" t="s">
        <v>24</v>
      </c>
      <c r="C15" s="89"/>
      <c r="D15" s="89"/>
      <c r="E15" s="89"/>
      <c r="F15" s="89"/>
      <c r="G15" s="33">
        <f t="shared" si="2"/>
        <v>0</v>
      </c>
      <c r="H15" s="33">
        <f t="shared" si="3"/>
        <v>0</v>
      </c>
      <c r="I15" s="33">
        <f t="shared" si="4"/>
        <v>0</v>
      </c>
      <c r="J15" s="87"/>
    </row>
    <row r="16" spans="1:10" x14ac:dyDescent="0.2">
      <c r="A16" s="16"/>
      <c r="C16" s="44"/>
      <c r="D16" s="44"/>
      <c r="E16" s="44"/>
      <c r="F16" s="45" t="s">
        <v>25</v>
      </c>
      <c r="G16" s="45">
        <f>SUM(G9:G15)</f>
        <v>24.5</v>
      </c>
      <c r="H16" s="46">
        <f>SUM(H9:H15)</f>
        <v>1.4999999999999947</v>
      </c>
      <c r="I16" s="45">
        <f>SUM(I9:I15)</f>
        <v>23.000000000000007</v>
      </c>
      <c r="J16" s="47"/>
    </row>
    <row r="17" spans="1:10" x14ac:dyDescent="0.2">
      <c r="A17" s="16"/>
      <c r="C17" s="44"/>
      <c r="D17" s="44"/>
      <c r="E17" s="44"/>
      <c r="F17" s="44"/>
      <c r="G17" s="48"/>
      <c r="H17" s="48"/>
      <c r="I17" s="48"/>
      <c r="J17" s="49"/>
    </row>
    <row r="18" spans="1:10" x14ac:dyDescent="0.2">
      <c r="A18" s="21" t="s">
        <v>7</v>
      </c>
      <c r="B18" s="22"/>
      <c r="C18" s="44"/>
      <c r="D18" s="44"/>
      <c r="E18" s="44"/>
      <c r="F18" s="44"/>
      <c r="G18" s="48"/>
      <c r="H18" s="48"/>
      <c r="I18" s="48"/>
      <c r="J18" s="20"/>
    </row>
    <row r="19" spans="1:10" x14ac:dyDescent="0.2">
      <c r="A19" s="23" t="s">
        <v>8</v>
      </c>
      <c r="B19" s="24" t="s">
        <v>9</v>
      </c>
      <c r="C19" s="50" t="s">
        <v>10</v>
      </c>
      <c r="D19" s="50" t="s">
        <v>11</v>
      </c>
      <c r="E19" s="50" t="s">
        <v>12</v>
      </c>
      <c r="F19" s="50" t="s">
        <v>13</v>
      </c>
      <c r="G19" s="26" t="s">
        <v>14</v>
      </c>
      <c r="H19" s="51" t="s">
        <v>15</v>
      </c>
      <c r="I19" s="26" t="s">
        <v>16</v>
      </c>
      <c r="J19" s="27" t="s">
        <v>17</v>
      </c>
    </row>
    <row r="20" spans="1:10" x14ac:dyDescent="0.2">
      <c r="A20" s="30">
        <v>45936</v>
      </c>
      <c r="B20" s="28" t="s">
        <v>18</v>
      </c>
      <c r="C20" s="35">
        <v>0.39583333333333331</v>
      </c>
      <c r="D20" s="35">
        <v>0.72916666666666663</v>
      </c>
      <c r="E20" s="35">
        <v>0.52083333333333337</v>
      </c>
      <c r="F20" s="35">
        <v>0.54166666666666663</v>
      </c>
      <c r="G20" s="32">
        <f>(D20-C20)*24</f>
        <v>8</v>
      </c>
      <c r="H20" s="32">
        <f t="shared" ref="H20" si="5">(F20-E20)*24</f>
        <v>0.49999999999999822</v>
      </c>
      <c r="I20" s="32">
        <f>G20-H20</f>
        <v>7.5000000000000018</v>
      </c>
      <c r="J20" s="52"/>
    </row>
    <row r="21" spans="1:10" x14ac:dyDescent="0.2">
      <c r="A21" s="30">
        <v>45937</v>
      </c>
      <c r="B21" s="28" t="s">
        <v>19</v>
      </c>
      <c r="C21" s="35">
        <v>0.39583333333333331</v>
      </c>
      <c r="D21" s="35">
        <v>0.72916666666666663</v>
      </c>
      <c r="E21" s="35">
        <v>0.52083333333333337</v>
      </c>
      <c r="F21" s="35">
        <v>0.54166666666666663</v>
      </c>
      <c r="G21" s="32">
        <f>(D21-C21)*24</f>
        <v>8</v>
      </c>
      <c r="H21" s="32">
        <f>(F21-E21)*24</f>
        <v>0.49999999999999822</v>
      </c>
      <c r="I21" s="32">
        <f>G21-H21</f>
        <v>7.5000000000000018</v>
      </c>
      <c r="J21" s="34"/>
    </row>
    <row r="22" spans="1:10" x14ac:dyDescent="0.2">
      <c r="A22" s="30">
        <v>45938</v>
      </c>
      <c r="B22" s="28" t="s">
        <v>20</v>
      </c>
      <c r="C22" s="35">
        <v>0.39583333333333331</v>
      </c>
      <c r="D22" s="35">
        <v>0.72916666666666663</v>
      </c>
      <c r="E22" s="35">
        <v>0.52083333333333337</v>
      </c>
      <c r="F22" s="35">
        <v>0.54166666666666663</v>
      </c>
      <c r="G22" s="32">
        <f>(D22-C22)*24</f>
        <v>8</v>
      </c>
      <c r="H22" s="32">
        <f t="shared" ref="H22:H26" si="6">(F22-E22)*24</f>
        <v>0.49999999999999822</v>
      </c>
      <c r="I22" s="32">
        <f>G22-H22</f>
        <v>7.5000000000000018</v>
      </c>
      <c r="J22" s="36"/>
    </row>
    <row r="23" spans="1:10" x14ac:dyDescent="0.2">
      <c r="A23" s="30">
        <v>45939</v>
      </c>
      <c r="B23" s="37" t="s">
        <v>21</v>
      </c>
      <c r="C23" s="35">
        <v>0.39583333333333331</v>
      </c>
      <c r="D23" s="35">
        <v>0.72916666666666696</v>
      </c>
      <c r="E23" s="35">
        <v>0.52083333333333337</v>
      </c>
      <c r="F23" s="35">
        <v>0.54166666666666663</v>
      </c>
      <c r="G23" s="32">
        <f t="shared" ref="G23:G26" si="7">(D23-C23)*24</f>
        <v>8.0000000000000071</v>
      </c>
      <c r="H23" s="32">
        <f t="shared" si="6"/>
        <v>0.49999999999999822</v>
      </c>
      <c r="I23" s="32">
        <f t="shared" ref="I23:I26" si="8">G23-H23</f>
        <v>7.5000000000000089</v>
      </c>
      <c r="J23" s="36"/>
    </row>
    <row r="24" spans="1:10" x14ac:dyDescent="0.2">
      <c r="A24" s="38">
        <v>45940</v>
      </c>
      <c r="B24" s="37" t="s">
        <v>22</v>
      </c>
      <c r="C24" s="39">
        <v>0.39583333333333331</v>
      </c>
      <c r="D24" s="39">
        <v>0.72916666666666696</v>
      </c>
      <c r="E24" s="39">
        <v>0.52083333333333337</v>
      </c>
      <c r="F24" s="39">
        <v>0.54166666666666663</v>
      </c>
      <c r="G24" s="32">
        <f t="shared" si="7"/>
        <v>8.0000000000000071</v>
      </c>
      <c r="H24" s="32">
        <f t="shared" si="6"/>
        <v>0.49999999999999822</v>
      </c>
      <c r="I24" s="32">
        <f t="shared" si="8"/>
        <v>7.5000000000000089</v>
      </c>
      <c r="J24" s="36"/>
    </row>
    <row r="25" spans="1:10" x14ac:dyDescent="0.2">
      <c r="A25" s="38"/>
      <c r="B25" s="37" t="s">
        <v>23</v>
      </c>
      <c r="C25" s="39"/>
      <c r="D25" s="39"/>
      <c r="E25" s="39"/>
      <c r="F25" s="39"/>
      <c r="G25" s="32">
        <f t="shared" si="7"/>
        <v>0</v>
      </c>
      <c r="H25" s="32">
        <f t="shared" si="6"/>
        <v>0</v>
      </c>
      <c r="I25" s="32">
        <f t="shared" si="8"/>
        <v>0</v>
      </c>
      <c r="J25" s="36"/>
    </row>
    <row r="26" spans="1:10" x14ac:dyDescent="0.2">
      <c r="A26" s="40"/>
      <c r="B26" s="41" t="s">
        <v>24</v>
      </c>
      <c r="C26" s="42"/>
      <c r="D26" s="42"/>
      <c r="E26" s="42"/>
      <c r="F26" s="42"/>
      <c r="G26" s="43">
        <f t="shared" si="7"/>
        <v>0</v>
      </c>
      <c r="H26" s="43">
        <f t="shared" si="6"/>
        <v>0</v>
      </c>
      <c r="I26" s="43">
        <f t="shared" si="8"/>
        <v>0</v>
      </c>
      <c r="J26" s="36"/>
    </row>
    <row r="27" spans="1:10" x14ac:dyDescent="0.2">
      <c r="A27" s="16"/>
      <c r="C27" s="44"/>
      <c r="D27" s="44"/>
      <c r="E27" s="44"/>
      <c r="F27" s="46" t="s">
        <v>25</v>
      </c>
      <c r="G27" s="45">
        <f>SUM(G20:G26)</f>
        <v>40.000000000000014</v>
      </c>
      <c r="H27" s="45">
        <f>SUM(H20:H26)</f>
        <v>2.4999999999999911</v>
      </c>
      <c r="I27" s="45">
        <f>SUM(I20:I26)</f>
        <v>37.500000000000021</v>
      </c>
      <c r="J27" s="47"/>
    </row>
    <row r="28" spans="1:10" x14ac:dyDescent="0.2">
      <c r="A28" s="16"/>
      <c r="C28" s="44"/>
      <c r="D28" s="44"/>
      <c r="E28" s="44"/>
      <c r="F28" s="44"/>
      <c r="G28" s="48"/>
      <c r="H28" s="48"/>
      <c r="I28" s="48"/>
      <c r="J28" s="49"/>
    </row>
    <row r="29" spans="1:10" x14ac:dyDescent="0.2">
      <c r="A29" s="21" t="s">
        <v>7</v>
      </c>
      <c r="B29" s="22"/>
      <c r="C29" s="44"/>
      <c r="D29" s="44"/>
      <c r="E29" s="44"/>
      <c r="F29" s="44"/>
      <c r="G29" s="48"/>
      <c r="H29" s="48"/>
      <c r="I29" s="48"/>
      <c r="J29" s="20"/>
    </row>
    <row r="30" spans="1:10" x14ac:dyDescent="0.2">
      <c r="A30" s="23" t="s">
        <v>8</v>
      </c>
      <c r="B30" s="24" t="s">
        <v>9</v>
      </c>
      <c r="C30" s="50" t="s">
        <v>10</v>
      </c>
      <c r="D30" s="50" t="s">
        <v>11</v>
      </c>
      <c r="E30" s="50" t="s">
        <v>12</v>
      </c>
      <c r="F30" s="50" t="s">
        <v>13</v>
      </c>
      <c r="G30" s="26" t="s">
        <v>14</v>
      </c>
      <c r="H30" s="51" t="s">
        <v>15</v>
      </c>
      <c r="I30" s="26" t="s">
        <v>16</v>
      </c>
      <c r="J30" s="27" t="s">
        <v>17</v>
      </c>
    </row>
    <row r="31" spans="1:10" x14ac:dyDescent="0.2">
      <c r="A31" s="30">
        <v>45943</v>
      </c>
      <c r="B31" s="28" t="s">
        <v>18</v>
      </c>
      <c r="C31" s="35">
        <v>0.39583333333333331</v>
      </c>
      <c r="D31" s="35">
        <v>0.72916666666666663</v>
      </c>
      <c r="E31" s="35">
        <v>0.52083333333333337</v>
      </c>
      <c r="F31" s="35">
        <v>0.54166666666666663</v>
      </c>
      <c r="G31" s="32">
        <f>(D31-C31)*24</f>
        <v>8</v>
      </c>
      <c r="H31" s="32">
        <f>(F31-E31)*24</f>
        <v>0.49999999999999822</v>
      </c>
      <c r="I31" s="32">
        <f>G31-H31</f>
        <v>7.5000000000000018</v>
      </c>
      <c r="J31" s="52"/>
    </row>
    <row r="32" spans="1:10" x14ac:dyDescent="0.2">
      <c r="A32" s="30">
        <v>45944</v>
      </c>
      <c r="B32" s="28" t="s">
        <v>19</v>
      </c>
      <c r="C32" s="35">
        <v>0.39583333333333331</v>
      </c>
      <c r="D32" s="35">
        <v>0.72916666666666663</v>
      </c>
      <c r="E32" s="35">
        <v>0.52083333333333337</v>
      </c>
      <c r="F32" s="35">
        <v>0.54166666666666663</v>
      </c>
      <c r="G32" s="32">
        <f>(D32-C32)*24</f>
        <v>8</v>
      </c>
      <c r="H32" s="32">
        <f t="shared" ref="H32:H37" si="9">(F32-E32)*24</f>
        <v>0.49999999999999822</v>
      </c>
      <c r="I32" s="32">
        <f>G32-H32</f>
        <v>7.5000000000000018</v>
      </c>
      <c r="J32" s="34"/>
    </row>
    <row r="33" spans="1:10" x14ac:dyDescent="0.2">
      <c r="A33" s="30">
        <v>45945</v>
      </c>
      <c r="B33" s="28" t="s">
        <v>20</v>
      </c>
      <c r="C33" s="35">
        <v>0.39583333333333331</v>
      </c>
      <c r="D33" s="35">
        <v>0.72916666666666663</v>
      </c>
      <c r="E33" s="35">
        <v>0.52083333333333337</v>
      </c>
      <c r="F33" s="35">
        <v>0.54166666666666663</v>
      </c>
      <c r="G33" s="32">
        <f>(D33-C33)*24</f>
        <v>8</v>
      </c>
      <c r="H33" s="32">
        <f t="shared" si="9"/>
        <v>0.49999999999999822</v>
      </c>
      <c r="I33" s="32">
        <f>G33-H33</f>
        <v>7.5000000000000018</v>
      </c>
      <c r="J33" s="36"/>
    </row>
    <row r="34" spans="1:10" x14ac:dyDescent="0.2">
      <c r="A34" s="30">
        <v>45946</v>
      </c>
      <c r="B34" s="37" t="s">
        <v>21</v>
      </c>
      <c r="C34" s="35">
        <v>0.39583333333333331</v>
      </c>
      <c r="D34" s="35">
        <v>0.72916666666666696</v>
      </c>
      <c r="E34" s="35">
        <v>0.52083333333333337</v>
      </c>
      <c r="F34" s="35">
        <v>0.54166666666666663</v>
      </c>
      <c r="G34" s="32">
        <f>(D34-C34)*24</f>
        <v>8.0000000000000071</v>
      </c>
      <c r="H34" s="32">
        <f t="shared" si="9"/>
        <v>0.49999999999999822</v>
      </c>
      <c r="I34" s="32">
        <f>G34-H34</f>
        <v>7.5000000000000089</v>
      </c>
      <c r="J34" s="36"/>
    </row>
    <row r="35" spans="1:10" x14ac:dyDescent="0.2">
      <c r="A35" s="38">
        <v>45947</v>
      </c>
      <c r="B35" s="37" t="s">
        <v>22</v>
      </c>
      <c r="C35" s="39">
        <v>0.39583333333333331</v>
      </c>
      <c r="D35" s="39">
        <v>0.72916666666666696</v>
      </c>
      <c r="E35" s="39">
        <v>0.52083333333333337</v>
      </c>
      <c r="F35" s="39">
        <v>0.54166666666666663</v>
      </c>
      <c r="G35" s="32">
        <f t="shared" ref="G35:G37" si="10">(D35-C35)*24</f>
        <v>8.0000000000000071</v>
      </c>
      <c r="H35" s="32">
        <f t="shared" si="9"/>
        <v>0.49999999999999822</v>
      </c>
      <c r="I35" s="32">
        <f t="shared" ref="I35:I37" si="11">G35-H35</f>
        <v>7.5000000000000089</v>
      </c>
      <c r="J35" s="36"/>
    </row>
    <row r="36" spans="1:10" x14ac:dyDescent="0.2">
      <c r="A36" s="38"/>
      <c r="B36" s="37" t="s">
        <v>23</v>
      </c>
      <c r="C36" s="39"/>
      <c r="D36" s="39"/>
      <c r="E36" s="39"/>
      <c r="F36" s="39"/>
      <c r="G36" s="32">
        <f t="shared" si="10"/>
        <v>0</v>
      </c>
      <c r="H36" s="32">
        <f t="shared" si="9"/>
        <v>0</v>
      </c>
      <c r="I36" s="32">
        <f t="shared" si="11"/>
        <v>0</v>
      </c>
      <c r="J36" s="36"/>
    </row>
    <row r="37" spans="1:10" x14ac:dyDescent="0.2">
      <c r="A37" s="40"/>
      <c r="B37" s="41" t="s">
        <v>24</v>
      </c>
      <c r="C37" s="42"/>
      <c r="D37" s="42"/>
      <c r="E37" s="42"/>
      <c r="F37" s="42"/>
      <c r="G37" s="43">
        <f t="shared" si="10"/>
        <v>0</v>
      </c>
      <c r="H37" s="43">
        <f t="shared" si="9"/>
        <v>0</v>
      </c>
      <c r="I37" s="43">
        <f t="shared" si="11"/>
        <v>0</v>
      </c>
      <c r="J37" s="36"/>
    </row>
    <row r="38" spans="1:10" x14ac:dyDescent="0.2">
      <c r="A38" s="16"/>
      <c r="C38" s="44"/>
      <c r="D38" s="44"/>
      <c r="E38" s="44"/>
      <c r="F38" s="45" t="s">
        <v>25</v>
      </c>
      <c r="G38" s="45">
        <f>SUM(G31:G37)</f>
        <v>40.000000000000014</v>
      </c>
      <c r="H38" s="45">
        <f>SUM(H31:H37)</f>
        <v>2.4999999999999911</v>
      </c>
      <c r="I38" s="45">
        <f>SUM(I31:I37)</f>
        <v>37.500000000000021</v>
      </c>
      <c r="J38" s="47"/>
    </row>
    <row r="39" spans="1:10" x14ac:dyDescent="0.2">
      <c r="A39" s="16"/>
      <c r="H39" s="19"/>
      <c r="J39" s="49"/>
    </row>
    <row r="40" spans="1:10" x14ac:dyDescent="0.2">
      <c r="A40" s="21" t="s">
        <v>7</v>
      </c>
      <c r="B40" s="22"/>
      <c r="C40" s="44"/>
      <c r="D40" s="44"/>
      <c r="E40" s="44"/>
      <c r="F40" s="44"/>
      <c r="G40" s="48"/>
      <c r="H40" s="48"/>
      <c r="I40" s="48"/>
      <c r="J40" s="20"/>
    </row>
    <row r="41" spans="1:10" x14ac:dyDescent="0.2">
      <c r="A41" s="23" t="s">
        <v>8</v>
      </c>
      <c r="B41" s="24" t="s">
        <v>9</v>
      </c>
      <c r="C41" s="50" t="s">
        <v>10</v>
      </c>
      <c r="D41" s="50" t="s">
        <v>11</v>
      </c>
      <c r="E41" s="50" t="s">
        <v>12</v>
      </c>
      <c r="F41" s="50" t="s">
        <v>13</v>
      </c>
      <c r="G41" s="26" t="s">
        <v>14</v>
      </c>
      <c r="H41" s="51" t="s">
        <v>15</v>
      </c>
      <c r="I41" s="26" t="s">
        <v>16</v>
      </c>
      <c r="J41" s="27" t="s">
        <v>17</v>
      </c>
    </row>
    <row r="42" spans="1:10" x14ac:dyDescent="0.2">
      <c r="A42" s="30">
        <v>45948</v>
      </c>
      <c r="B42" s="28" t="s">
        <v>18</v>
      </c>
      <c r="C42" s="35">
        <v>0.39583333333333331</v>
      </c>
      <c r="D42" s="35">
        <v>0.72916666666666663</v>
      </c>
      <c r="E42" s="35">
        <v>0.52083333333333337</v>
      </c>
      <c r="F42" s="35">
        <v>0.54166666666666663</v>
      </c>
      <c r="G42" s="32">
        <f>(D42-C42)*24</f>
        <v>8</v>
      </c>
      <c r="H42" s="32">
        <f t="shared" ref="H42" si="12">(F42-E42)*24</f>
        <v>0.49999999999999822</v>
      </c>
      <c r="I42" s="32">
        <f>G42-H42</f>
        <v>7.5000000000000018</v>
      </c>
      <c r="J42" s="52"/>
    </row>
    <row r="43" spans="1:10" x14ac:dyDescent="0.2">
      <c r="A43" s="30">
        <v>45949</v>
      </c>
      <c r="B43" s="28" t="s">
        <v>19</v>
      </c>
      <c r="C43" s="35">
        <v>0.39583333333333331</v>
      </c>
      <c r="D43" s="35">
        <v>0.72916666666666663</v>
      </c>
      <c r="E43" s="35">
        <v>0.52083333333333337</v>
      </c>
      <c r="F43" s="35">
        <v>0.54166666666666663</v>
      </c>
      <c r="G43" s="32">
        <f>(D43-C43)*24</f>
        <v>8</v>
      </c>
      <c r="H43" s="32">
        <f>(F43-E43)*24</f>
        <v>0.49999999999999822</v>
      </c>
      <c r="I43" s="32">
        <f>G43-H43</f>
        <v>7.5000000000000018</v>
      </c>
      <c r="J43" s="34"/>
    </row>
    <row r="44" spans="1:10" x14ac:dyDescent="0.2">
      <c r="A44" s="30">
        <v>45950</v>
      </c>
      <c r="B44" s="28" t="s">
        <v>20</v>
      </c>
      <c r="C44" s="35">
        <v>0.39583333333333331</v>
      </c>
      <c r="D44" s="35">
        <v>0.72916666666666663</v>
      </c>
      <c r="E44" s="35">
        <v>0.52083333333333337</v>
      </c>
      <c r="F44" s="35">
        <v>0.54166666666666663</v>
      </c>
      <c r="G44" s="33">
        <f>(D44-C44)*24</f>
        <v>8</v>
      </c>
      <c r="H44" s="33">
        <f t="shared" ref="H44:H48" si="13">(F44-E44)*24</f>
        <v>0.49999999999999822</v>
      </c>
      <c r="I44" s="33">
        <f>G44-H44</f>
        <v>7.5000000000000018</v>
      </c>
      <c r="J44" s="36"/>
    </row>
    <row r="45" spans="1:10" x14ac:dyDescent="0.2">
      <c r="A45" s="30">
        <v>45951</v>
      </c>
      <c r="B45" s="37" t="s">
        <v>21</v>
      </c>
      <c r="C45" s="53">
        <v>0.39583333333333331</v>
      </c>
      <c r="D45" s="53">
        <v>0.72916666666666696</v>
      </c>
      <c r="E45" s="53">
        <v>0.52083333333333337</v>
      </c>
      <c r="F45" s="53">
        <v>0.54166666666666663</v>
      </c>
      <c r="G45" s="33">
        <f t="shared" ref="G45:G48" si="14">(D45-C45)*24</f>
        <v>8.0000000000000071</v>
      </c>
      <c r="H45" s="33">
        <f t="shared" si="13"/>
        <v>0.49999999999999822</v>
      </c>
      <c r="I45" s="33">
        <f t="shared" ref="I45:I48" si="15">G45-H45</f>
        <v>7.5000000000000089</v>
      </c>
      <c r="J45" s="36"/>
    </row>
    <row r="46" spans="1:10" x14ac:dyDescent="0.2">
      <c r="A46" s="38">
        <v>45952</v>
      </c>
      <c r="B46" s="37" t="s">
        <v>22</v>
      </c>
      <c r="C46" s="54">
        <v>0.39583333333333331</v>
      </c>
      <c r="D46" s="54">
        <v>0.72916666666666696</v>
      </c>
      <c r="E46" s="54">
        <v>0.52083333333333337</v>
      </c>
      <c r="F46" s="54">
        <v>0.54166666666666663</v>
      </c>
      <c r="G46" s="33">
        <f t="shared" si="14"/>
        <v>8.0000000000000071</v>
      </c>
      <c r="H46" s="33">
        <f t="shared" si="13"/>
        <v>0.49999999999999822</v>
      </c>
      <c r="I46" s="33">
        <f t="shared" si="15"/>
        <v>7.5000000000000089</v>
      </c>
      <c r="J46" s="36"/>
    </row>
    <row r="47" spans="1:10" x14ac:dyDescent="0.2">
      <c r="A47" s="38"/>
      <c r="B47" s="37" t="s">
        <v>23</v>
      </c>
      <c r="C47" s="54"/>
      <c r="D47" s="54"/>
      <c r="E47" s="54"/>
      <c r="F47" s="54"/>
      <c r="G47" s="33">
        <f t="shared" si="14"/>
        <v>0</v>
      </c>
      <c r="H47" s="33">
        <f t="shared" si="13"/>
        <v>0</v>
      </c>
      <c r="I47" s="33">
        <f t="shared" si="15"/>
        <v>0</v>
      </c>
      <c r="J47" s="36"/>
    </row>
    <row r="48" spans="1:10" x14ac:dyDescent="0.2">
      <c r="A48" s="40"/>
      <c r="B48" s="41" t="s">
        <v>24</v>
      </c>
      <c r="C48" s="42"/>
      <c r="D48" s="42"/>
      <c r="E48" s="42"/>
      <c r="F48" s="42"/>
      <c r="G48" s="55">
        <f t="shared" si="14"/>
        <v>0</v>
      </c>
      <c r="H48" s="55">
        <f t="shared" si="13"/>
        <v>0</v>
      </c>
      <c r="I48" s="55">
        <f t="shared" si="15"/>
        <v>0</v>
      </c>
      <c r="J48" s="36"/>
    </row>
    <row r="49" spans="1:10" x14ac:dyDescent="0.2">
      <c r="A49" s="16"/>
      <c r="C49" s="44"/>
      <c r="D49" s="44"/>
      <c r="E49" s="44"/>
      <c r="F49" s="45" t="s">
        <v>25</v>
      </c>
      <c r="G49" s="45">
        <f>SUM(G42:G48)</f>
        <v>40.000000000000014</v>
      </c>
      <c r="H49" s="45">
        <f>SUM(H42:H48)</f>
        <v>2.4999999999999911</v>
      </c>
      <c r="I49" s="45">
        <f>SUM(I42:I48)</f>
        <v>37.500000000000021</v>
      </c>
      <c r="J49" s="47"/>
    </row>
    <row r="50" spans="1:10" x14ac:dyDescent="0.2">
      <c r="A50" s="16"/>
      <c r="H50" s="19"/>
      <c r="J50" s="49"/>
    </row>
    <row r="51" spans="1:10" x14ac:dyDescent="0.2">
      <c r="A51" s="21" t="s">
        <v>7</v>
      </c>
      <c r="B51" s="22"/>
      <c r="C51" s="44"/>
      <c r="D51" s="44"/>
      <c r="E51" s="44"/>
      <c r="F51" s="44"/>
      <c r="G51" s="48"/>
      <c r="H51" s="48"/>
      <c r="I51" s="48"/>
      <c r="J51" s="20"/>
    </row>
    <row r="52" spans="1:10" x14ac:dyDescent="0.2">
      <c r="A52" s="23" t="s">
        <v>8</v>
      </c>
      <c r="B52" s="24" t="s">
        <v>9</v>
      </c>
      <c r="C52" s="50" t="s">
        <v>10</v>
      </c>
      <c r="D52" s="50" t="s">
        <v>11</v>
      </c>
      <c r="E52" s="50" t="s">
        <v>12</v>
      </c>
      <c r="F52" s="50" t="s">
        <v>13</v>
      </c>
      <c r="G52" s="26" t="s">
        <v>14</v>
      </c>
      <c r="H52" s="51" t="s">
        <v>15</v>
      </c>
      <c r="I52" s="26" t="s">
        <v>16</v>
      </c>
      <c r="J52" s="27" t="s">
        <v>17</v>
      </c>
    </row>
    <row r="53" spans="1:10" x14ac:dyDescent="0.2">
      <c r="A53" s="30">
        <v>45954</v>
      </c>
      <c r="B53" s="28" t="s">
        <v>18</v>
      </c>
      <c r="C53" s="35">
        <v>0.39583333333333331</v>
      </c>
      <c r="D53" s="35">
        <v>0.72916666666666663</v>
      </c>
      <c r="E53" s="35">
        <v>0.52083333333333337</v>
      </c>
      <c r="F53" s="35">
        <v>0.54166666666666663</v>
      </c>
      <c r="G53" s="32">
        <f>(D53-C53)*24</f>
        <v>8</v>
      </c>
      <c r="H53" s="32">
        <f t="shared" ref="H53" si="16">(F53-E53)*24</f>
        <v>0.49999999999999822</v>
      </c>
      <c r="I53" s="32">
        <f>G53-H53</f>
        <v>7.5000000000000018</v>
      </c>
      <c r="J53" s="52"/>
    </row>
    <row r="54" spans="1:10" x14ac:dyDescent="0.2">
      <c r="A54" s="30">
        <v>45955</v>
      </c>
      <c r="B54" s="28" t="s">
        <v>19</v>
      </c>
      <c r="C54" s="35">
        <v>0.39583333333333331</v>
      </c>
      <c r="D54" s="35">
        <v>0.72916666666666663</v>
      </c>
      <c r="E54" s="35">
        <v>0.52083333333333337</v>
      </c>
      <c r="F54" s="35">
        <v>0.54166666666666663</v>
      </c>
      <c r="G54" s="32">
        <f>(D54-C54)*24</f>
        <v>8</v>
      </c>
      <c r="H54" s="32">
        <f>(F54-E54)*24</f>
        <v>0.49999999999999822</v>
      </c>
      <c r="I54" s="32">
        <f>G54-H54</f>
        <v>7.5000000000000018</v>
      </c>
      <c r="J54" s="34"/>
    </row>
    <row r="55" spans="1:10" x14ac:dyDescent="0.2">
      <c r="A55" s="30">
        <v>45956</v>
      </c>
      <c r="B55" s="28" t="s">
        <v>20</v>
      </c>
      <c r="C55" s="35">
        <v>0.39583333333333331</v>
      </c>
      <c r="D55" s="35">
        <v>0.72916666666666663</v>
      </c>
      <c r="E55" s="35">
        <v>0.52083333333333337</v>
      </c>
      <c r="F55" s="35">
        <v>0.54166666666666663</v>
      </c>
      <c r="G55" s="32">
        <f>(D55-C55)*24</f>
        <v>8</v>
      </c>
      <c r="H55" s="32">
        <f t="shared" ref="H55:H59" si="17">(F55-E55)*24</f>
        <v>0.49999999999999822</v>
      </c>
      <c r="I55" s="32">
        <f>G55-H55</f>
        <v>7.5000000000000018</v>
      </c>
      <c r="J55" s="36"/>
    </row>
    <row r="56" spans="1:10" x14ac:dyDescent="0.2">
      <c r="A56" s="30">
        <v>45957</v>
      </c>
      <c r="B56" s="37" t="s">
        <v>21</v>
      </c>
      <c r="C56" s="35">
        <v>0.39583333333333331</v>
      </c>
      <c r="D56" s="35">
        <v>0.72916666666666696</v>
      </c>
      <c r="E56" s="35">
        <v>0.52083333333333337</v>
      </c>
      <c r="F56" s="35">
        <v>0.54166666666666663</v>
      </c>
      <c r="G56" s="32">
        <f t="shared" ref="G56:G59" si="18">(D56-C56)*24</f>
        <v>8.0000000000000071</v>
      </c>
      <c r="H56" s="32">
        <f t="shared" si="17"/>
        <v>0.49999999999999822</v>
      </c>
      <c r="I56" s="32">
        <f t="shared" ref="I56:I59" si="19">G56-H56</f>
        <v>7.5000000000000089</v>
      </c>
      <c r="J56" s="36"/>
    </row>
    <row r="57" spans="1:10" x14ac:dyDescent="0.2">
      <c r="A57" s="30">
        <v>45958</v>
      </c>
      <c r="B57" s="37" t="s">
        <v>22</v>
      </c>
      <c r="C57" s="56">
        <v>0.39583333333333331</v>
      </c>
      <c r="D57" s="39">
        <v>0.72916666666666696</v>
      </c>
      <c r="E57" s="39">
        <v>0.52083333333333337</v>
      </c>
      <c r="F57" s="39">
        <v>0.54166666666666663</v>
      </c>
      <c r="G57" s="32">
        <f t="shared" si="18"/>
        <v>8.0000000000000071</v>
      </c>
      <c r="H57" s="32">
        <f t="shared" si="17"/>
        <v>0.49999999999999822</v>
      </c>
      <c r="I57" s="32">
        <f t="shared" si="19"/>
        <v>7.5000000000000089</v>
      </c>
      <c r="J57" s="36"/>
    </row>
    <row r="58" spans="1:10" x14ac:dyDescent="0.2">
      <c r="A58" s="30"/>
      <c r="B58" s="37" t="s">
        <v>23</v>
      </c>
      <c r="C58" s="39"/>
      <c r="D58" s="39"/>
      <c r="E58" s="39"/>
      <c r="F58" s="39"/>
      <c r="G58" s="32">
        <f t="shared" si="18"/>
        <v>0</v>
      </c>
      <c r="H58" s="32">
        <f t="shared" si="17"/>
        <v>0</v>
      </c>
      <c r="I58" s="32">
        <f t="shared" si="19"/>
        <v>0</v>
      </c>
      <c r="J58" s="36"/>
    </row>
    <row r="59" spans="1:10" x14ac:dyDescent="0.2">
      <c r="A59" s="40"/>
      <c r="B59" s="41" t="s">
        <v>24</v>
      </c>
      <c r="C59" s="42"/>
      <c r="D59" s="42"/>
      <c r="E59" s="42"/>
      <c r="F59" s="42"/>
      <c r="G59" s="43">
        <f t="shared" si="18"/>
        <v>0</v>
      </c>
      <c r="H59" s="43">
        <f t="shared" si="17"/>
        <v>0</v>
      </c>
      <c r="I59" s="43">
        <f t="shared" si="19"/>
        <v>0</v>
      </c>
      <c r="J59" s="36"/>
    </row>
    <row r="60" spans="1:10" x14ac:dyDescent="0.2">
      <c r="A60" s="16"/>
      <c r="C60" s="44"/>
      <c r="D60" s="44"/>
      <c r="E60" s="57"/>
      <c r="F60" s="45" t="s">
        <v>25</v>
      </c>
      <c r="G60" s="45">
        <f>SUM(G53:G59)</f>
        <v>40.000000000000014</v>
      </c>
      <c r="H60" s="45">
        <f>SUM(H53:H59)</f>
        <v>2.4999999999999911</v>
      </c>
      <c r="I60" s="45">
        <f>SUM(I53:I59)</f>
        <v>37.500000000000021</v>
      </c>
      <c r="J60" s="47"/>
    </row>
    <row r="61" spans="1:10" x14ac:dyDescent="0.2">
      <c r="A61" s="16"/>
      <c r="E61" s="98" t="s">
        <v>26</v>
      </c>
      <c r="F61" s="98"/>
      <c r="G61" s="45">
        <f>SUM(G60,G49,G38,G27,G16)</f>
        <v>184.50000000000006</v>
      </c>
      <c r="H61" s="45">
        <f>SUM(H60,H49,H38,H27,H16)</f>
        <v>11.499999999999959</v>
      </c>
      <c r="I61" s="45">
        <f>SUM(I38,I27,I49,I16,I60)</f>
        <v>173.00000000000009</v>
      </c>
      <c r="J61" s="58"/>
    </row>
    <row r="62" spans="1:10" x14ac:dyDescent="0.2">
      <c r="A62" s="16"/>
      <c r="H62" s="19"/>
      <c r="J62" s="6"/>
    </row>
    <row r="63" spans="1:10" x14ac:dyDescent="0.2">
      <c r="A63" s="16"/>
      <c r="H63" s="19"/>
      <c r="J63" s="6"/>
    </row>
    <row r="64" spans="1:10" x14ac:dyDescent="0.2">
      <c r="A64" s="16"/>
      <c r="C64" s="59" t="s">
        <v>27</v>
      </c>
      <c r="D64" s="60"/>
      <c r="E64" s="61"/>
      <c r="G64" s="59" t="s">
        <v>27</v>
      </c>
      <c r="H64" s="60"/>
      <c r="I64" s="60"/>
      <c r="J64" s="62"/>
    </row>
    <row r="65" spans="1:10" x14ac:dyDescent="0.2">
      <c r="A65" s="16"/>
      <c r="C65" s="92"/>
      <c r="D65" s="93"/>
      <c r="E65" s="94"/>
      <c r="G65" s="63" t="s">
        <v>37</v>
      </c>
      <c r="H65" s="64"/>
      <c r="I65" s="64"/>
      <c r="J65" s="65"/>
    </row>
    <row r="66" spans="1:10" x14ac:dyDescent="0.2">
      <c r="A66" s="16"/>
      <c r="C66" s="66"/>
      <c r="D66" s="66"/>
      <c r="E66" s="66"/>
      <c r="G66" s="66"/>
      <c r="H66" s="66"/>
      <c r="I66" s="67"/>
      <c r="J66" s="86"/>
    </row>
    <row r="67" spans="1:10" x14ac:dyDescent="0.2">
      <c r="A67" s="68"/>
      <c r="B67" s="69"/>
      <c r="C67" s="70"/>
      <c r="D67" s="70"/>
      <c r="E67" s="70"/>
      <c r="G67" s="70"/>
      <c r="H67" s="70"/>
      <c r="I67" s="71"/>
      <c r="J67" s="72"/>
    </row>
    <row r="68" spans="1:10" x14ac:dyDescent="0.2">
      <c r="A68" s="73" t="s">
        <v>28</v>
      </c>
      <c r="C68" t="s">
        <v>29</v>
      </c>
      <c r="G68" t="s">
        <v>30</v>
      </c>
      <c r="I68" s="19"/>
      <c r="J68" s="74"/>
    </row>
    <row r="69" spans="1:10" x14ac:dyDescent="0.2">
      <c r="A69" s="16"/>
      <c r="J69" s="6"/>
    </row>
    <row r="70" spans="1:10" ht="16" x14ac:dyDescent="0.2">
      <c r="A70" s="75" t="s">
        <v>31</v>
      </c>
      <c r="B70" s="76"/>
      <c r="C70" s="76"/>
      <c r="D70" s="77"/>
      <c r="E70" s="77"/>
      <c r="F70" s="77"/>
      <c r="G70" s="78"/>
      <c r="H70" s="78"/>
      <c r="I70" s="78"/>
      <c r="J70" s="79"/>
    </row>
    <row r="71" spans="1:10" x14ac:dyDescent="0.2">
      <c r="A71" s="80" t="s">
        <v>32</v>
      </c>
      <c r="J71" s="6"/>
    </row>
    <row r="72" spans="1:10" ht="16" thickBot="1" x14ac:dyDescent="0.25">
      <c r="A72" s="81"/>
      <c r="B72" s="82"/>
      <c r="C72" s="82"/>
      <c r="D72" s="82"/>
      <c r="E72" s="82"/>
      <c r="F72" s="82"/>
      <c r="G72" s="82"/>
      <c r="H72" s="82"/>
      <c r="I72" s="82"/>
      <c r="J72" s="83"/>
    </row>
  </sheetData>
  <sheetProtection algorithmName="SHA-512" hashValue="zrFqVzjNuxlU4mqpAxue3N7ffRDSzT1Vinc0F4nLq0yOl3QK5txR27uGA6mfXcsV9TX29g68WKiZVVWb9nUeNw==" saltValue="1HOlOGMJrmw/PBklG6sHRA==" spinCount="100000" sheet="1" objects="1" scenarios="1"/>
  <mergeCells count="6">
    <mergeCell ref="C65:E65"/>
    <mergeCell ref="A2:C2"/>
    <mergeCell ref="D2:E2"/>
    <mergeCell ref="F2:G2"/>
    <mergeCell ref="H2:I2"/>
    <mergeCell ref="E61:F61"/>
  </mergeCells>
  <conditionalFormatting sqref="G8:I15 F16 G16:G18 I16:I18 H16:H21 G20:G21 I20:I21 G22:I22 G23:G29 I23:I29 H23:H32 F27 G31:G32 I31:I32 G33:I38 F38 G40 I40 H40:H43 G42:G43 I42:I43 G44:I49 F49 G51 I51 H51:H60 G53:G60 I53:I60 F60 G61:I61">
    <cfRule type="cellIs" dxfId="9" priority="5" operator="equal">
      <formula>0</formula>
    </cfRule>
  </conditionalFormatting>
  <conditionalFormatting sqref="J17">
    <cfRule type="cellIs" dxfId="8" priority="4" operator="equal">
      <formula>0</formula>
    </cfRule>
  </conditionalFormatting>
  <conditionalFormatting sqref="J28">
    <cfRule type="cellIs" dxfId="7" priority="3" operator="equal">
      <formula>0</formula>
    </cfRule>
  </conditionalFormatting>
  <conditionalFormatting sqref="J39">
    <cfRule type="cellIs" dxfId="6" priority="2" operator="equal">
      <formula>0</formula>
    </cfRule>
  </conditionalFormatting>
  <conditionalFormatting sqref="J50">
    <cfRule type="cellIs" dxfId="5" priority="1" operator="equal">
      <formula>0</formula>
    </cfRule>
  </conditionalFormatting>
  <pageMargins left="0.7" right="0.7" top="0.78740157499999996" bottom="0.78740157499999996" header="0.3" footer="0.3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6792-D353-48F2-8F7A-2FD00C58A0AD}">
  <sheetPr>
    <pageSetUpPr fitToPage="1"/>
  </sheetPr>
  <dimension ref="A1:J72"/>
  <sheetViews>
    <sheetView tabSelected="1" topLeftCell="A9" zoomScale="138" workbookViewId="0">
      <selection activeCell="E56" sqref="E56"/>
    </sheetView>
  </sheetViews>
  <sheetFormatPr baseColWidth="10" defaultRowHeight="15" x14ac:dyDescent="0.2"/>
  <sheetData>
    <row r="1" spans="1:10" ht="29" x14ac:dyDescent="0.35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5"/>
    </row>
    <row r="2" spans="1:10" ht="29" x14ac:dyDescent="0.35">
      <c r="A2" s="95" t="s">
        <v>2</v>
      </c>
      <c r="B2" s="96"/>
      <c r="C2" s="96"/>
      <c r="D2" s="97" t="s">
        <v>34</v>
      </c>
      <c r="E2" s="97"/>
      <c r="F2" s="97" t="s">
        <v>35</v>
      </c>
      <c r="G2" s="97"/>
      <c r="H2" s="97">
        <v>20026159</v>
      </c>
      <c r="I2" s="97"/>
      <c r="J2" s="6"/>
    </row>
    <row r="3" spans="1:10" x14ac:dyDescent="0.2">
      <c r="A3" s="7"/>
      <c r="B3" s="8"/>
      <c r="C3" s="8"/>
      <c r="D3" s="9" t="s">
        <v>3</v>
      </c>
      <c r="E3" s="9"/>
      <c r="F3" s="9" t="s">
        <v>4</v>
      </c>
      <c r="G3" s="9"/>
      <c r="H3" s="9" t="s">
        <v>5</v>
      </c>
      <c r="I3" s="10"/>
      <c r="J3" s="11"/>
    </row>
    <row r="4" spans="1:10" x14ac:dyDescent="0.2">
      <c r="A4" s="12"/>
      <c r="B4" s="13"/>
      <c r="C4" s="13"/>
      <c r="D4" s="14"/>
      <c r="E4" s="14"/>
      <c r="F4" s="14"/>
      <c r="G4" s="14"/>
      <c r="H4" s="14"/>
      <c r="I4" s="14"/>
      <c r="J4" s="15"/>
    </row>
    <row r="5" spans="1:10" x14ac:dyDescent="0.2">
      <c r="A5" s="16"/>
      <c r="D5" s="17" t="s">
        <v>6</v>
      </c>
      <c r="E5" s="18"/>
      <c r="H5" s="19"/>
      <c r="J5" s="20"/>
    </row>
    <row r="6" spans="1:10" x14ac:dyDescent="0.2">
      <c r="A6" s="21" t="s">
        <v>7</v>
      </c>
      <c r="B6" s="22"/>
      <c r="H6" s="19"/>
      <c r="J6" s="20"/>
    </row>
    <row r="7" spans="1:10" x14ac:dyDescent="0.2">
      <c r="A7" s="23" t="s">
        <v>8</v>
      </c>
      <c r="B7" s="24" t="s">
        <v>9</v>
      </c>
      <c r="C7" s="25" t="s">
        <v>10</v>
      </c>
      <c r="D7" s="25" t="s">
        <v>11</v>
      </c>
      <c r="E7" s="25" t="s">
        <v>12</v>
      </c>
      <c r="F7" s="25" t="s">
        <v>13</v>
      </c>
      <c r="G7" s="26" t="s">
        <v>14</v>
      </c>
      <c r="H7" s="26" t="s">
        <v>15</v>
      </c>
      <c r="I7" s="26" t="s">
        <v>16</v>
      </c>
      <c r="J7" s="27" t="s">
        <v>17</v>
      </c>
    </row>
    <row r="8" spans="1:10" x14ac:dyDescent="0.2">
      <c r="A8" s="84">
        <v>44928</v>
      </c>
      <c r="B8" s="28" t="s">
        <v>18</v>
      </c>
      <c r="C8" s="85">
        <v>0.375</v>
      </c>
      <c r="D8" s="85">
        <v>0.70833333333333337</v>
      </c>
      <c r="E8" s="85">
        <v>0.5</v>
      </c>
      <c r="F8" s="85">
        <v>0.54166666666666663</v>
      </c>
      <c r="G8" s="29">
        <f t="shared" ref="G8:G15" si="0">(D8-C8)*24</f>
        <v>8</v>
      </c>
      <c r="H8" s="29">
        <f>(F8-E8)*24</f>
        <v>0.99999999999999911</v>
      </c>
      <c r="I8" s="29">
        <f t="shared" ref="I8:I15" si="1">G8-H8</f>
        <v>7.0000000000000009</v>
      </c>
      <c r="J8" s="52" t="s">
        <v>33</v>
      </c>
    </row>
    <row r="9" spans="1:10" x14ac:dyDescent="0.2">
      <c r="A9" s="91">
        <v>45992</v>
      </c>
      <c r="B9" s="28" t="s">
        <v>18</v>
      </c>
      <c r="C9" s="31">
        <v>0.39583333333333331</v>
      </c>
      <c r="D9" s="31">
        <v>0.72916666666666663</v>
      </c>
      <c r="E9" s="31"/>
      <c r="F9" s="31"/>
      <c r="G9" s="33">
        <f t="shared" si="0"/>
        <v>8</v>
      </c>
      <c r="H9" s="33">
        <f t="shared" ref="H9:H15" si="2">(F9-E9)*24</f>
        <v>0</v>
      </c>
      <c r="I9" s="33">
        <f t="shared" si="1"/>
        <v>8</v>
      </c>
      <c r="J9" s="87" t="s">
        <v>38</v>
      </c>
    </row>
    <row r="10" spans="1:10" x14ac:dyDescent="0.2">
      <c r="A10" s="91">
        <v>45993</v>
      </c>
      <c r="B10" s="28" t="s">
        <v>19</v>
      </c>
      <c r="C10" s="31">
        <v>0.39583333333333331</v>
      </c>
      <c r="D10" s="31">
        <v>0.72916666666666663</v>
      </c>
      <c r="E10" s="31"/>
      <c r="F10" s="31"/>
      <c r="G10" s="33">
        <f>(D10-C10)*24</f>
        <v>8</v>
      </c>
      <c r="H10" s="33">
        <f>(F10-E10)*24</f>
        <v>0</v>
      </c>
      <c r="I10" s="33">
        <f t="shared" si="1"/>
        <v>8</v>
      </c>
      <c r="J10" s="87" t="s">
        <v>38</v>
      </c>
    </row>
    <row r="11" spans="1:10" x14ac:dyDescent="0.2">
      <c r="A11" s="91">
        <v>45994</v>
      </c>
      <c r="B11" s="28" t="s">
        <v>20</v>
      </c>
      <c r="C11" s="31">
        <v>0.39583333333333331</v>
      </c>
      <c r="D11" s="31">
        <v>0.72916666666666663</v>
      </c>
      <c r="E11" s="31"/>
      <c r="F11" s="31"/>
      <c r="G11" s="33">
        <f>(D11-C11)*24</f>
        <v>8</v>
      </c>
      <c r="H11" s="33">
        <f>(F11-E11)*24</f>
        <v>0</v>
      </c>
      <c r="I11" s="33">
        <f t="shared" si="1"/>
        <v>8</v>
      </c>
      <c r="J11" s="87" t="s">
        <v>38</v>
      </c>
    </row>
    <row r="12" spans="1:10" x14ac:dyDescent="0.2">
      <c r="A12" s="91">
        <v>45995</v>
      </c>
      <c r="B12" s="37" t="s">
        <v>21</v>
      </c>
      <c r="C12" s="31">
        <v>0.39583333333333331</v>
      </c>
      <c r="D12" s="31">
        <v>0.75</v>
      </c>
      <c r="E12" s="31">
        <v>0.52083333333333337</v>
      </c>
      <c r="F12" s="31">
        <v>0.54166666666666663</v>
      </c>
      <c r="G12" s="33">
        <f>(D12-C12)*24</f>
        <v>8.5</v>
      </c>
      <c r="H12" s="33">
        <f>(F12-E12)*24</f>
        <v>0.49999999999999822</v>
      </c>
      <c r="I12" s="33">
        <f t="shared" si="1"/>
        <v>8.0000000000000018</v>
      </c>
      <c r="J12" s="87"/>
    </row>
    <row r="13" spans="1:10" x14ac:dyDescent="0.2">
      <c r="A13" s="91">
        <v>45996</v>
      </c>
      <c r="B13" s="37" t="s">
        <v>22</v>
      </c>
      <c r="C13" s="31">
        <v>0.39583333333333331</v>
      </c>
      <c r="D13" s="31">
        <v>0.75</v>
      </c>
      <c r="E13" s="31">
        <v>0.52083333333333337</v>
      </c>
      <c r="F13" s="31">
        <v>0.54166666666666663</v>
      </c>
      <c r="G13" s="33">
        <f>(D13-C13)*24</f>
        <v>8.5</v>
      </c>
      <c r="H13" s="33">
        <f t="shared" si="2"/>
        <v>0.49999999999999822</v>
      </c>
      <c r="I13" s="33">
        <f t="shared" si="1"/>
        <v>8.0000000000000018</v>
      </c>
      <c r="J13" s="87"/>
    </row>
    <row r="14" spans="1:10" x14ac:dyDescent="0.2">
      <c r="A14" s="38"/>
      <c r="B14" s="37" t="s">
        <v>23</v>
      </c>
      <c r="C14" s="88"/>
      <c r="D14" s="88"/>
      <c r="E14" s="88"/>
      <c r="F14" s="88"/>
      <c r="G14" s="33">
        <f t="shared" si="0"/>
        <v>0</v>
      </c>
      <c r="H14" s="33">
        <f t="shared" si="2"/>
        <v>0</v>
      </c>
      <c r="I14" s="33">
        <f t="shared" si="1"/>
        <v>0</v>
      </c>
      <c r="J14" s="87"/>
    </row>
    <row r="15" spans="1:10" x14ac:dyDescent="0.2">
      <c r="A15" s="40"/>
      <c r="B15" s="41" t="s">
        <v>24</v>
      </c>
      <c r="C15" s="89"/>
      <c r="D15" s="89"/>
      <c r="E15" s="89"/>
      <c r="F15" s="89"/>
      <c r="G15" s="33">
        <f t="shared" si="0"/>
        <v>0</v>
      </c>
      <c r="H15" s="33">
        <f t="shared" si="2"/>
        <v>0</v>
      </c>
      <c r="I15" s="33">
        <f t="shared" si="1"/>
        <v>0</v>
      </c>
      <c r="J15" s="87"/>
    </row>
    <row r="16" spans="1:10" x14ac:dyDescent="0.2">
      <c r="A16" s="16"/>
      <c r="C16" s="44"/>
      <c r="D16" s="44"/>
      <c r="E16" s="44"/>
      <c r="F16" s="45" t="s">
        <v>25</v>
      </c>
      <c r="G16" s="45">
        <f>SUM(G9:G15)</f>
        <v>41</v>
      </c>
      <c r="H16" s="46">
        <f>SUM(H9:H15)</f>
        <v>0.99999999999999645</v>
      </c>
      <c r="I16" s="45">
        <f>SUM(I9:I15)</f>
        <v>40</v>
      </c>
      <c r="J16" s="47"/>
    </row>
    <row r="17" spans="1:10" x14ac:dyDescent="0.2">
      <c r="A17" s="16"/>
      <c r="C17" s="44"/>
      <c r="D17" s="44"/>
      <c r="E17" s="44"/>
      <c r="F17" s="44"/>
      <c r="G17" s="48"/>
      <c r="H17" s="48"/>
      <c r="I17" s="48"/>
      <c r="J17" s="49"/>
    </row>
    <row r="18" spans="1:10" x14ac:dyDescent="0.2">
      <c r="A18" s="21" t="s">
        <v>7</v>
      </c>
      <c r="B18" s="22"/>
      <c r="C18" s="44"/>
      <c r="D18" s="44"/>
      <c r="E18" s="44"/>
      <c r="F18" s="44"/>
      <c r="G18" s="48"/>
      <c r="H18" s="48"/>
      <c r="I18" s="48"/>
      <c r="J18" s="20"/>
    </row>
    <row r="19" spans="1:10" x14ac:dyDescent="0.2">
      <c r="A19" s="23" t="s">
        <v>8</v>
      </c>
      <c r="B19" s="24" t="s">
        <v>9</v>
      </c>
      <c r="C19" s="50" t="s">
        <v>10</v>
      </c>
      <c r="D19" s="50" t="s">
        <v>11</v>
      </c>
      <c r="E19" s="50" t="s">
        <v>12</v>
      </c>
      <c r="F19" s="50" t="s">
        <v>13</v>
      </c>
      <c r="G19" s="26" t="s">
        <v>14</v>
      </c>
      <c r="H19" s="51" t="s">
        <v>15</v>
      </c>
      <c r="I19" s="26" t="s">
        <v>16</v>
      </c>
      <c r="J19" s="27" t="s">
        <v>17</v>
      </c>
    </row>
    <row r="20" spans="1:10" x14ac:dyDescent="0.2">
      <c r="A20" s="30">
        <v>45999</v>
      </c>
      <c r="B20" s="28" t="s">
        <v>18</v>
      </c>
      <c r="C20" s="31">
        <v>0.39583333333333331</v>
      </c>
      <c r="D20" s="31">
        <v>0.72916666666666663</v>
      </c>
      <c r="E20" s="31"/>
      <c r="F20" s="31"/>
      <c r="G20" s="32">
        <f>(D20-C20)*24</f>
        <v>8</v>
      </c>
      <c r="H20" s="32">
        <f t="shared" ref="H20" si="3">(F20-E20)*24</f>
        <v>0</v>
      </c>
      <c r="I20" s="32">
        <f>G20-H20</f>
        <v>8</v>
      </c>
      <c r="J20" s="52" t="s">
        <v>39</v>
      </c>
    </row>
    <row r="21" spans="1:10" x14ac:dyDescent="0.2">
      <c r="A21" s="30">
        <v>46000</v>
      </c>
      <c r="B21" s="28" t="s">
        <v>19</v>
      </c>
      <c r="C21" s="31">
        <v>0.39583333333333331</v>
      </c>
      <c r="D21" s="31">
        <v>0.75</v>
      </c>
      <c r="E21" s="31">
        <v>0.52083333333333337</v>
      </c>
      <c r="F21" s="31">
        <v>0.54166666666666663</v>
      </c>
      <c r="G21" s="32">
        <f>(D21-C21)*24</f>
        <v>8.5</v>
      </c>
      <c r="H21" s="32">
        <f>(F21-E21)*24</f>
        <v>0.49999999999999822</v>
      </c>
      <c r="I21" s="32">
        <f>G21-H21</f>
        <v>8.0000000000000018</v>
      </c>
      <c r="J21" s="34"/>
    </row>
    <row r="22" spans="1:10" x14ac:dyDescent="0.2">
      <c r="A22" s="30">
        <v>46001</v>
      </c>
      <c r="B22" s="28" t="s">
        <v>20</v>
      </c>
      <c r="C22" s="31">
        <v>0.39583333333333331</v>
      </c>
      <c r="D22" s="31">
        <v>0.75</v>
      </c>
      <c r="E22" s="31">
        <v>0.52083333333333337</v>
      </c>
      <c r="F22" s="31">
        <v>0.54166666666666663</v>
      </c>
      <c r="G22" s="32">
        <f>(D22-C22)*24</f>
        <v>8.5</v>
      </c>
      <c r="H22" s="32">
        <f t="shared" ref="H22:H26" si="4">(F22-E22)*24</f>
        <v>0.49999999999999822</v>
      </c>
      <c r="I22" s="32">
        <f>G22-H22</f>
        <v>8.0000000000000018</v>
      </c>
      <c r="J22" s="36"/>
    </row>
    <row r="23" spans="1:10" x14ac:dyDescent="0.2">
      <c r="A23" s="30">
        <v>46002</v>
      </c>
      <c r="B23" s="37" t="s">
        <v>21</v>
      </c>
      <c r="C23" s="31">
        <v>0.39583333333333331</v>
      </c>
      <c r="D23" s="31">
        <v>0.75</v>
      </c>
      <c r="E23" s="31">
        <v>0.52083333333333337</v>
      </c>
      <c r="F23" s="31">
        <v>0.54166666666666663</v>
      </c>
      <c r="G23" s="32">
        <f t="shared" ref="G23:G26" si="5">(D23-C23)*24</f>
        <v>8.5</v>
      </c>
      <c r="H23" s="32">
        <f t="shared" si="4"/>
        <v>0.49999999999999822</v>
      </c>
      <c r="I23" s="32">
        <f t="shared" ref="I23:I26" si="6">G23-H23</f>
        <v>8.0000000000000018</v>
      </c>
      <c r="J23" s="36"/>
    </row>
    <row r="24" spans="1:10" x14ac:dyDescent="0.2">
      <c r="A24" s="30">
        <v>46003</v>
      </c>
      <c r="B24" s="37" t="s">
        <v>22</v>
      </c>
      <c r="C24" s="31">
        <v>0.375</v>
      </c>
      <c r="D24" s="31">
        <v>0.72916666666666663</v>
      </c>
      <c r="E24" s="31">
        <v>0.52083333333333337</v>
      </c>
      <c r="F24" s="31">
        <v>0.54166666666666663</v>
      </c>
      <c r="G24" s="32">
        <f t="shared" si="5"/>
        <v>8.5</v>
      </c>
      <c r="H24" s="32">
        <f t="shared" si="4"/>
        <v>0.49999999999999822</v>
      </c>
      <c r="I24" s="32">
        <f t="shared" si="6"/>
        <v>8.0000000000000018</v>
      </c>
      <c r="J24" s="36"/>
    </row>
    <row r="25" spans="1:10" x14ac:dyDescent="0.2">
      <c r="A25" s="38"/>
      <c r="B25" s="37" t="s">
        <v>23</v>
      </c>
      <c r="C25" s="39"/>
      <c r="D25" s="39"/>
      <c r="E25" s="39"/>
      <c r="F25" s="39"/>
      <c r="G25" s="32">
        <f t="shared" si="5"/>
        <v>0</v>
      </c>
      <c r="H25" s="32">
        <f t="shared" si="4"/>
        <v>0</v>
      </c>
      <c r="I25" s="32">
        <f t="shared" si="6"/>
        <v>0</v>
      </c>
      <c r="J25" s="36"/>
    </row>
    <row r="26" spans="1:10" x14ac:dyDescent="0.2">
      <c r="A26" s="40"/>
      <c r="B26" s="41" t="s">
        <v>24</v>
      </c>
      <c r="C26" s="42"/>
      <c r="D26" s="42"/>
      <c r="E26" s="42"/>
      <c r="F26" s="42"/>
      <c r="G26" s="43">
        <f t="shared" si="5"/>
        <v>0</v>
      </c>
      <c r="H26" s="43">
        <f t="shared" si="4"/>
        <v>0</v>
      </c>
      <c r="I26" s="43">
        <f t="shared" si="6"/>
        <v>0</v>
      </c>
      <c r="J26" s="36"/>
    </row>
    <row r="27" spans="1:10" x14ac:dyDescent="0.2">
      <c r="A27" s="16"/>
      <c r="C27" s="44"/>
      <c r="D27" s="44"/>
      <c r="E27" s="44"/>
      <c r="F27" s="46" t="s">
        <v>25</v>
      </c>
      <c r="G27" s="45">
        <f>SUM(G20:G26)</f>
        <v>42</v>
      </c>
      <c r="H27" s="45">
        <f>SUM(H20:H26)</f>
        <v>1.9999999999999929</v>
      </c>
      <c r="I27" s="45">
        <f>SUM(I20:I26)</f>
        <v>40</v>
      </c>
      <c r="J27" s="47"/>
    </row>
    <row r="28" spans="1:10" x14ac:dyDescent="0.2">
      <c r="A28" s="16"/>
      <c r="C28" s="44"/>
      <c r="D28" s="44"/>
      <c r="E28" s="44"/>
      <c r="F28" s="44"/>
      <c r="G28" s="48"/>
      <c r="H28" s="48"/>
      <c r="I28" s="48"/>
      <c r="J28" s="49"/>
    </row>
    <row r="29" spans="1:10" x14ac:dyDescent="0.2">
      <c r="A29" s="21" t="s">
        <v>7</v>
      </c>
      <c r="B29" s="22"/>
      <c r="C29" s="44"/>
      <c r="D29" s="44"/>
      <c r="E29" s="44"/>
      <c r="F29" s="44"/>
      <c r="G29" s="48"/>
      <c r="H29" s="48"/>
      <c r="I29" s="48"/>
      <c r="J29" s="20"/>
    </row>
    <row r="30" spans="1:10" x14ac:dyDescent="0.2">
      <c r="A30" s="23" t="s">
        <v>8</v>
      </c>
      <c r="B30" s="24" t="s">
        <v>9</v>
      </c>
      <c r="C30" s="50" t="s">
        <v>10</v>
      </c>
      <c r="D30" s="50" t="s">
        <v>11</v>
      </c>
      <c r="E30" s="50" t="s">
        <v>12</v>
      </c>
      <c r="F30" s="50" t="s">
        <v>13</v>
      </c>
      <c r="G30" s="26" t="s">
        <v>14</v>
      </c>
      <c r="H30" s="51" t="s">
        <v>15</v>
      </c>
      <c r="I30" s="26" t="s">
        <v>16</v>
      </c>
      <c r="J30" s="27" t="s">
        <v>17</v>
      </c>
    </row>
    <row r="31" spans="1:10" x14ac:dyDescent="0.2">
      <c r="A31" s="30">
        <v>46006</v>
      </c>
      <c r="B31" s="28" t="s">
        <v>18</v>
      </c>
      <c r="C31" s="31">
        <v>0.39583333333333331</v>
      </c>
      <c r="D31" s="31">
        <v>0.75</v>
      </c>
      <c r="E31" s="31">
        <v>0.52083333333333337</v>
      </c>
      <c r="F31" s="31">
        <v>0.54166666666666663</v>
      </c>
      <c r="G31" s="32">
        <f>(D31-C31)*24</f>
        <v>8.5</v>
      </c>
      <c r="H31" s="32">
        <f>(F31-E31)*24</f>
        <v>0.49999999999999822</v>
      </c>
      <c r="I31" s="32">
        <f>G31-H31</f>
        <v>8.0000000000000018</v>
      </c>
      <c r="J31" s="52"/>
    </row>
    <row r="32" spans="1:10" x14ac:dyDescent="0.2">
      <c r="A32" s="30">
        <v>46007</v>
      </c>
      <c r="B32" s="28" t="s">
        <v>19</v>
      </c>
      <c r="C32" s="31">
        <v>0.39583333333333331</v>
      </c>
      <c r="D32" s="31">
        <v>0.75</v>
      </c>
      <c r="E32" s="31">
        <v>0.52083333333333337</v>
      </c>
      <c r="F32" s="31">
        <v>0.54166666666666663</v>
      </c>
      <c r="G32" s="32">
        <f>(D32-C32)*24</f>
        <v>8.5</v>
      </c>
      <c r="H32" s="32">
        <f t="shared" ref="H32:H37" si="7">(F32-E32)*24</f>
        <v>0.49999999999999822</v>
      </c>
      <c r="I32" s="32">
        <f>G32-H32</f>
        <v>8.0000000000000018</v>
      </c>
      <c r="J32" s="34"/>
    </row>
    <row r="33" spans="1:10" x14ac:dyDescent="0.2">
      <c r="A33" s="30">
        <v>46008</v>
      </c>
      <c r="B33" s="28" t="s">
        <v>20</v>
      </c>
      <c r="C33" s="31">
        <v>0.39583333333333331</v>
      </c>
      <c r="D33" s="31">
        <v>0.75</v>
      </c>
      <c r="E33" s="31">
        <v>0.52083333333333337</v>
      </c>
      <c r="F33" s="31">
        <v>0.54166666666666663</v>
      </c>
      <c r="G33" s="32">
        <f>(D33-C33)*24</f>
        <v>8.5</v>
      </c>
      <c r="H33" s="32">
        <f t="shared" si="7"/>
        <v>0.49999999999999822</v>
      </c>
      <c r="I33" s="32">
        <f>G33-H33</f>
        <v>8.0000000000000018</v>
      </c>
      <c r="J33" s="36"/>
    </row>
    <row r="34" spans="1:10" x14ac:dyDescent="0.2">
      <c r="A34" s="30">
        <v>46009</v>
      </c>
      <c r="B34" s="37" t="s">
        <v>21</v>
      </c>
      <c r="C34" s="31">
        <v>0.39583333333333331</v>
      </c>
      <c r="D34" s="31">
        <v>0.75</v>
      </c>
      <c r="E34" s="31">
        <v>0.52083333333333337</v>
      </c>
      <c r="F34" s="31">
        <v>0.54166666666666663</v>
      </c>
      <c r="G34" s="32">
        <f>(D34-C34)*24</f>
        <v>8.5</v>
      </c>
      <c r="H34" s="32">
        <f t="shared" si="7"/>
        <v>0.49999999999999822</v>
      </c>
      <c r="I34" s="32">
        <f>G34-H34</f>
        <v>8.0000000000000018</v>
      </c>
      <c r="J34" s="36"/>
    </row>
    <row r="35" spans="1:10" x14ac:dyDescent="0.2">
      <c r="A35" s="30">
        <v>46010</v>
      </c>
      <c r="B35" s="37" t="s">
        <v>22</v>
      </c>
      <c r="C35" s="31">
        <v>0.39583333333333331</v>
      </c>
      <c r="D35" s="31">
        <v>0.75</v>
      </c>
      <c r="E35" s="31">
        <v>0.52083333333333337</v>
      </c>
      <c r="F35" s="31">
        <v>0.54166666666666663</v>
      </c>
      <c r="G35" s="32">
        <f t="shared" ref="G35:G37" si="8">(D35-C35)*24</f>
        <v>8.5</v>
      </c>
      <c r="H35" s="32">
        <f t="shared" si="7"/>
        <v>0.49999999999999822</v>
      </c>
      <c r="I35" s="32">
        <f t="shared" ref="I35:I37" si="9">G35-H35</f>
        <v>8.0000000000000018</v>
      </c>
      <c r="J35" s="36"/>
    </row>
    <row r="36" spans="1:10" x14ac:dyDescent="0.2">
      <c r="A36" s="38"/>
      <c r="B36" s="37" t="s">
        <v>23</v>
      </c>
      <c r="C36" s="39"/>
      <c r="D36" s="39"/>
      <c r="E36" s="39"/>
      <c r="F36" s="39"/>
      <c r="G36" s="32">
        <f t="shared" si="8"/>
        <v>0</v>
      </c>
      <c r="H36" s="32">
        <f t="shared" si="7"/>
        <v>0</v>
      </c>
      <c r="I36" s="32">
        <f t="shared" si="9"/>
        <v>0</v>
      </c>
      <c r="J36" s="36"/>
    </row>
    <row r="37" spans="1:10" x14ac:dyDescent="0.2">
      <c r="A37" s="40"/>
      <c r="B37" s="41" t="s">
        <v>24</v>
      </c>
      <c r="C37" s="42"/>
      <c r="D37" s="42"/>
      <c r="E37" s="42"/>
      <c r="F37" s="42"/>
      <c r="G37" s="43">
        <f t="shared" si="8"/>
        <v>0</v>
      </c>
      <c r="H37" s="43">
        <f t="shared" si="7"/>
        <v>0</v>
      </c>
      <c r="I37" s="43">
        <f t="shared" si="9"/>
        <v>0</v>
      </c>
      <c r="J37" s="36"/>
    </row>
    <row r="38" spans="1:10" x14ac:dyDescent="0.2">
      <c r="A38" s="16"/>
      <c r="C38" s="44"/>
      <c r="D38" s="44"/>
      <c r="E38" s="44"/>
      <c r="F38" s="45" t="s">
        <v>25</v>
      </c>
      <c r="G38" s="45">
        <f>SUM(G31:G37)</f>
        <v>42.5</v>
      </c>
      <c r="H38" s="45">
        <f>SUM(H31:H37)</f>
        <v>2.4999999999999911</v>
      </c>
      <c r="I38" s="45">
        <f>SUM(I31:I37)</f>
        <v>40.000000000000007</v>
      </c>
      <c r="J38" s="47"/>
    </row>
    <row r="39" spans="1:10" x14ac:dyDescent="0.2">
      <c r="A39" s="16"/>
      <c r="H39" s="19"/>
      <c r="J39" s="49"/>
    </row>
    <row r="40" spans="1:10" x14ac:dyDescent="0.2">
      <c r="A40" s="21" t="s">
        <v>7</v>
      </c>
      <c r="B40" s="22"/>
      <c r="C40" s="44"/>
      <c r="D40" s="44"/>
      <c r="E40" s="44"/>
      <c r="F40" s="44"/>
      <c r="G40" s="48"/>
      <c r="H40" s="48"/>
      <c r="I40" s="48"/>
      <c r="J40" s="20"/>
    </row>
    <row r="41" spans="1:10" x14ac:dyDescent="0.2">
      <c r="A41" s="23" t="s">
        <v>8</v>
      </c>
      <c r="B41" s="24" t="s">
        <v>9</v>
      </c>
      <c r="C41" s="50" t="s">
        <v>10</v>
      </c>
      <c r="D41" s="50" t="s">
        <v>11</v>
      </c>
      <c r="E41" s="50" t="s">
        <v>12</v>
      </c>
      <c r="F41" s="50" t="s">
        <v>13</v>
      </c>
      <c r="G41" s="26" t="s">
        <v>14</v>
      </c>
      <c r="H41" s="51" t="s">
        <v>15</v>
      </c>
      <c r="I41" s="26" t="s">
        <v>16</v>
      </c>
      <c r="J41" s="27" t="s">
        <v>17</v>
      </c>
    </row>
    <row r="42" spans="1:10" x14ac:dyDescent="0.2">
      <c r="A42" s="30">
        <v>46013</v>
      </c>
      <c r="B42" s="28" t="s">
        <v>18</v>
      </c>
      <c r="C42" s="31">
        <v>0.39583333333333331</v>
      </c>
      <c r="D42" s="31">
        <v>0.75</v>
      </c>
      <c r="E42" s="31">
        <v>0.52083333333333337</v>
      </c>
      <c r="F42" s="31">
        <v>0.54166666666666663</v>
      </c>
      <c r="G42" s="32">
        <f>(D42-C42)*24</f>
        <v>8.5</v>
      </c>
      <c r="H42" s="32">
        <f t="shared" ref="H42" si="10">(F42-E42)*24</f>
        <v>0.49999999999999822</v>
      </c>
      <c r="I42" s="32">
        <f>G42-H42</f>
        <v>8.0000000000000018</v>
      </c>
      <c r="J42" s="52"/>
    </row>
    <row r="43" spans="1:10" x14ac:dyDescent="0.2">
      <c r="A43" s="30">
        <v>46014</v>
      </c>
      <c r="B43" s="28" t="s">
        <v>19</v>
      </c>
      <c r="C43" s="31">
        <v>0.39583333333333331</v>
      </c>
      <c r="D43" s="31">
        <v>0.75</v>
      </c>
      <c r="E43" s="31">
        <v>0.52083333333333337</v>
      </c>
      <c r="F43" s="31">
        <v>0.54166666666666663</v>
      </c>
      <c r="G43" s="32">
        <f>(D43-C43)*24</f>
        <v>8.5</v>
      </c>
      <c r="H43" s="32">
        <f>(F43-E43)*24</f>
        <v>0.49999999999999822</v>
      </c>
      <c r="I43" s="32">
        <f>G43-H43</f>
        <v>8.0000000000000018</v>
      </c>
      <c r="J43" s="34"/>
    </row>
    <row r="44" spans="1:10" x14ac:dyDescent="0.2">
      <c r="A44" s="30">
        <v>46015</v>
      </c>
      <c r="B44" s="28" t="s">
        <v>20</v>
      </c>
      <c r="C44" s="31">
        <v>0.39583333333333331</v>
      </c>
      <c r="D44" s="31">
        <v>0.72916666666666663</v>
      </c>
      <c r="E44" s="31"/>
      <c r="F44" s="31"/>
      <c r="G44" s="33">
        <f>(D44-C44)*24</f>
        <v>8</v>
      </c>
      <c r="H44" s="33">
        <f t="shared" ref="H44:H48" si="11">(F44-E44)*24</f>
        <v>0</v>
      </c>
      <c r="I44" s="33">
        <f>G44-H44</f>
        <v>8</v>
      </c>
      <c r="J44" s="34" t="s">
        <v>38</v>
      </c>
    </row>
    <row r="45" spans="1:10" x14ac:dyDescent="0.2">
      <c r="A45" s="30">
        <v>46016</v>
      </c>
      <c r="B45" s="37" t="s">
        <v>21</v>
      </c>
      <c r="C45" s="31">
        <v>0.39583333333333331</v>
      </c>
      <c r="D45" s="31">
        <v>0.75</v>
      </c>
      <c r="E45" s="31">
        <v>0.52083333333333337</v>
      </c>
      <c r="F45" s="31">
        <v>0.54166666666666663</v>
      </c>
      <c r="G45" s="33">
        <f t="shared" ref="G45:G48" si="12">(D45-C45)*24</f>
        <v>8.5</v>
      </c>
      <c r="H45" s="33">
        <f t="shared" si="11"/>
        <v>0.49999999999999822</v>
      </c>
      <c r="I45" s="33">
        <f t="shared" ref="I45:I48" si="13">G45-H45</f>
        <v>8.0000000000000018</v>
      </c>
      <c r="J45" s="34"/>
    </row>
    <row r="46" spans="1:10" x14ac:dyDescent="0.2">
      <c r="A46" s="30">
        <v>46017</v>
      </c>
      <c r="B46" s="37" t="s">
        <v>22</v>
      </c>
      <c r="C46" s="31">
        <v>0.39583333333333331</v>
      </c>
      <c r="D46" s="31">
        <v>0.75</v>
      </c>
      <c r="E46" s="31">
        <v>0.52083333333333337</v>
      </c>
      <c r="F46" s="31">
        <v>0.54166666666666663</v>
      </c>
      <c r="G46" s="33">
        <f t="shared" si="12"/>
        <v>8.5</v>
      </c>
      <c r="H46" s="33">
        <f t="shared" si="11"/>
        <v>0.49999999999999822</v>
      </c>
      <c r="I46" s="33">
        <f t="shared" si="13"/>
        <v>8.0000000000000018</v>
      </c>
      <c r="J46" s="34"/>
    </row>
    <row r="47" spans="1:10" x14ac:dyDescent="0.2">
      <c r="A47" s="38"/>
      <c r="B47" s="37" t="s">
        <v>23</v>
      </c>
      <c r="C47" s="54"/>
      <c r="D47" s="54"/>
      <c r="E47" s="54"/>
      <c r="F47" s="54"/>
      <c r="G47" s="33">
        <f t="shared" si="12"/>
        <v>0</v>
      </c>
      <c r="H47" s="33">
        <f t="shared" si="11"/>
        <v>0</v>
      </c>
      <c r="I47" s="33">
        <f t="shared" si="13"/>
        <v>0</v>
      </c>
      <c r="J47" s="36"/>
    </row>
    <row r="48" spans="1:10" x14ac:dyDescent="0.2">
      <c r="A48" s="40"/>
      <c r="B48" s="41" t="s">
        <v>24</v>
      </c>
      <c r="C48" s="42"/>
      <c r="D48" s="42"/>
      <c r="E48" s="42"/>
      <c r="F48" s="42"/>
      <c r="G48" s="55">
        <f t="shared" si="12"/>
        <v>0</v>
      </c>
      <c r="H48" s="55">
        <f t="shared" si="11"/>
        <v>0</v>
      </c>
      <c r="I48" s="55">
        <f t="shared" si="13"/>
        <v>0</v>
      </c>
      <c r="J48" s="36"/>
    </row>
    <row r="49" spans="1:10" x14ac:dyDescent="0.2">
      <c r="A49" s="16"/>
      <c r="C49" s="44"/>
      <c r="D49" s="44"/>
      <c r="E49" s="44"/>
      <c r="F49" s="45" t="s">
        <v>25</v>
      </c>
      <c r="G49" s="45">
        <f>SUM(G42:G48)</f>
        <v>42</v>
      </c>
      <c r="H49" s="45">
        <f>SUM(H42:H48)</f>
        <v>1.9999999999999929</v>
      </c>
      <c r="I49" s="45">
        <f>SUM(I42:I48)</f>
        <v>40.000000000000007</v>
      </c>
      <c r="J49" s="47"/>
    </row>
    <row r="50" spans="1:10" x14ac:dyDescent="0.2">
      <c r="A50" s="16"/>
      <c r="H50" s="19"/>
      <c r="J50" s="49"/>
    </row>
    <row r="51" spans="1:10" x14ac:dyDescent="0.2">
      <c r="A51" s="21" t="s">
        <v>7</v>
      </c>
      <c r="B51" s="22"/>
      <c r="C51" s="44"/>
      <c r="D51" s="44"/>
      <c r="E51" s="44"/>
      <c r="F51" s="44"/>
      <c r="G51" s="48"/>
      <c r="H51" s="48"/>
      <c r="I51" s="48"/>
      <c r="J51" s="20"/>
    </row>
    <row r="52" spans="1:10" x14ac:dyDescent="0.2">
      <c r="A52" s="23" t="s">
        <v>8</v>
      </c>
      <c r="B52" s="24" t="s">
        <v>9</v>
      </c>
      <c r="C52" s="50" t="s">
        <v>10</v>
      </c>
      <c r="D52" s="50" t="s">
        <v>11</v>
      </c>
      <c r="E52" s="50" t="s">
        <v>12</v>
      </c>
      <c r="F52" s="50" t="s">
        <v>13</v>
      </c>
      <c r="G52" s="26" t="s">
        <v>14</v>
      </c>
      <c r="H52" s="51" t="s">
        <v>15</v>
      </c>
      <c r="I52" s="26" t="s">
        <v>16</v>
      </c>
      <c r="J52" s="27" t="s">
        <v>17</v>
      </c>
    </row>
    <row r="53" spans="1:10" x14ac:dyDescent="0.2">
      <c r="A53" s="30">
        <v>46020</v>
      </c>
      <c r="B53" s="28" t="s">
        <v>18</v>
      </c>
      <c r="C53" s="31">
        <v>0.39583333333333331</v>
      </c>
      <c r="D53" s="31">
        <v>0.75</v>
      </c>
      <c r="E53" s="31">
        <v>0.52083333333333337</v>
      </c>
      <c r="F53" s="31">
        <v>0.54166666666666663</v>
      </c>
      <c r="G53" s="32">
        <f>(D53-C53)*24</f>
        <v>8.5</v>
      </c>
      <c r="H53" s="32">
        <f t="shared" ref="H53" si="14">(F53-E53)*24</f>
        <v>0.49999999999999822</v>
      </c>
      <c r="I53" s="32">
        <f>G53-H53</f>
        <v>8.0000000000000018</v>
      </c>
      <c r="J53" s="52"/>
    </row>
    <row r="54" spans="1:10" x14ac:dyDescent="0.2">
      <c r="A54" s="30">
        <v>46021</v>
      </c>
      <c r="B54" s="28" t="s">
        <v>19</v>
      </c>
      <c r="C54" s="31">
        <v>0.39583333333333331</v>
      </c>
      <c r="D54" s="31">
        <v>0.75</v>
      </c>
      <c r="E54" s="31">
        <v>0.52083333333333337</v>
      </c>
      <c r="F54" s="31">
        <v>0.54166666666666663</v>
      </c>
      <c r="G54" s="32">
        <f>(D54-C54)*24</f>
        <v>8.5</v>
      </c>
      <c r="H54" s="32">
        <f>(F54-E54)*24</f>
        <v>0.49999999999999822</v>
      </c>
      <c r="I54" s="32">
        <f>G54-H54</f>
        <v>8.0000000000000018</v>
      </c>
      <c r="J54" s="34"/>
    </row>
    <row r="55" spans="1:10" x14ac:dyDescent="0.2">
      <c r="A55" s="30">
        <v>46022</v>
      </c>
      <c r="B55" s="28" t="s">
        <v>20</v>
      </c>
      <c r="C55" s="31">
        <v>0.39583333333333331</v>
      </c>
      <c r="D55" s="31">
        <v>0.72916666666666663</v>
      </c>
      <c r="E55" s="31"/>
      <c r="F55" s="31"/>
      <c r="G55" s="32">
        <f>(D55-C55)*24</f>
        <v>8</v>
      </c>
      <c r="H55" s="32">
        <f t="shared" ref="H55:H59" si="15">(F55-E55)*24</f>
        <v>0</v>
      </c>
      <c r="I55" s="32">
        <f>G55-H55</f>
        <v>8</v>
      </c>
      <c r="J55" s="36" t="s">
        <v>38</v>
      </c>
    </row>
    <row r="56" spans="1:10" x14ac:dyDescent="0.2">
      <c r="A56" s="30"/>
      <c r="B56" s="37" t="s">
        <v>21</v>
      </c>
      <c r="C56" s="31"/>
      <c r="D56" s="31"/>
      <c r="E56" s="31"/>
      <c r="F56" s="31"/>
      <c r="G56" s="32">
        <f t="shared" ref="G56:G59" si="16">(D56-C56)*24</f>
        <v>0</v>
      </c>
      <c r="H56" s="32">
        <f t="shared" si="15"/>
        <v>0</v>
      </c>
      <c r="I56" s="32">
        <f t="shared" ref="I56:I59" si="17">G56-H56</f>
        <v>0</v>
      </c>
      <c r="J56" s="36"/>
    </row>
    <row r="57" spans="1:10" x14ac:dyDescent="0.2">
      <c r="A57" s="30"/>
      <c r="B57" s="37" t="s">
        <v>22</v>
      </c>
      <c r="C57" s="31"/>
      <c r="D57" s="31"/>
      <c r="E57" s="31"/>
      <c r="F57" s="31"/>
      <c r="G57" s="32">
        <f t="shared" si="16"/>
        <v>0</v>
      </c>
      <c r="H57" s="32">
        <f t="shared" si="15"/>
        <v>0</v>
      </c>
      <c r="I57" s="32">
        <f t="shared" si="17"/>
        <v>0</v>
      </c>
      <c r="J57" s="36"/>
    </row>
    <row r="58" spans="1:10" x14ac:dyDescent="0.2">
      <c r="A58" s="30"/>
      <c r="B58" s="37" t="s">
        <v>23</v>
      </c>
      <c r="C58" s="39"/>
      <c r="D58" s="39"/>
      <c r="E58" s="39"/>
      <c r="F58" s="39"/>
      <c r="G58" s="32">
        <f t="shared" si="16"/>
        <v>0</v>
      </c>
      <c r="H58" s="32">
        <f t="shared" si="15"/>
        <v>0</v>
      </c>
      <c r="I58" s="32">
        <f t="shared" si="17"/>
        <v>0</v>
      </c>
      <c r="J58" s="36"/>
    </row>
    <row r="59" spans="1:10" x14ac:dyDescent="0.2">
      <c r="A59" s="40"/>
      <c r="B59" s="41" t="s">
        <v>24</v>
      </c>
      <c r="C59" s="42"/>
      <c r="D59" s="42"/>
      <c r="E59" s="42"/>
      <c r="F59" s="42"/>
      <c r="G59" s="43">
        <f t="shared" si="16"/>
        <v>0</v>
      </c>
      <c r="H59" s="43">
        <f t="shared" si="15"/>
        <v>0</v>
      </c>
      <c r="I59" s="43">
        <f t="shared" si="17"/>
        <v>0</v>
      </c>
      <c r="J59" s="36"/>
    </row>
    <row r="60" spans="1:10" x14ac:dyDescent="0.2">
      <c r="A60" s="16"/>
      <c r="C60" s="44"/>
      <c r="D60" s="44"/>
      <c r="E60" s="57"/>
      <c r="F60" s="45" t="s">
        <v>25</v>
      </c>
      <c r="G60" s="45">
        <f>SUM(G53:G59)</f>
        <v>25</v>
      </c>
      <c r="H60" s="45">
        <f>SUM(H53:H59)</f>
        <v>0.99999999999999645</v>
      </c>
      <c r="I60" s="45">
        <f>SUM(I53:I59)</f>
        <v>24.000000000000004</v>
      </c>
      <c r="J60" s="47"/>
    </row>
    <row r="61" spans="1:10" x14ac:dyDescent="0.2">
      <c r="A61" s="16"/>
      <c r="E61" s="98" t="s">
        <v>26</v>
      </c>
      <c r="F61" s="98"/>
      <c r="G61" s="45">
        <f>SUM(G60,G49,G38,G27,G16)</f>
        <v>192.5</v>
      </c>
      <c r="H61" s="45">
        <f>SUM(H60,H49,H38,H27,H16)</f>
        <v>8.4999999999999698</v>
      </c>
      <c r="I61" s="45">
        <f>SUM(I38,I27,I49,I16,I60)</f>
        <v>184</v>
      </c>
      <c r="J61" s="58"/>
    </row>
    <row r="62" spans="1:10" x14ac:dyDescent="0.2">
      <c r="A62" s="16"/>
      <c r="H62" s="19"/>
      <c r="J62" s="6"/>
    </row>
    <row r="63" spans="1:10" x14ac:dyDescent="0.2">
      <c r="A63" s="16"/>
      <c r="H63" s="19"/>
      <c r="J63" s="6"/>
    </row>
    <row r="64" spans="1:10" x14ac:dyDescent="0.2">
      <c r="A64" s="16"/>
      <c r="C64" s="59" t="s">
        <v>27</v>
      </c>
      <c r="D64" s="60"/>
      <c r="E64" s="61"/>
      <c r="G64" s="59" t="s">
        <v>27</v>
      </c>
      <c r="H64" s="60"/>
      <c r="I64" s="60"/>
      <c r="J64" s="62"/>
    </row>
    <row r="65" spans="1:10" x14ac:dyDescent="0.2">
      <c r="A65" s="16"/>
      <c r="C65" s="92"/>
      <c r="D65" s="93"/>
      <c r="E65" s="94"/>
      <c r="G65" s="63" t="s">
        <v>37</v>
      </c>
      <c r="H65" s="64"/>
      <c r="I65" s="64"/>
      <c r="J65" s="65"/>
    </row>
    <row r="66" spans="1:10" x14ac:dyDescent="0.2">
      <c r="A66" s="16"/>
      <c r="C66" s="66"/>
      <c r="D66" s="66"/>
      <c r="E66" s="66"/>
      <c r="G66" s="66"/>
      <c r="H66" s="66"/>
      <c r="I66" s="67"/>
      <c r="J66" s="86"/>
    </row>
    <row r="67" spans="1:10" x14ac:dyDescent="0.2">
      <c r="A67" s="68"/>
      <c r="B67" s="69"/>
      <c r="C67" s="70"/>
      <c r="D67" s="70"/>
      <c r="E67" s="70"/>
      <c r="G67" s="70"/>
      <c r="H67" s="70"/>
      <c r="I67" s="71"/>
      <c r="J67" s="72"/>
    </row>
    <row r="68" spans="1:10" x14ac:dyDescent="0.2">
      <c r="A68" s="73" t="s">
        <v>28</v>
      </c>
      <c r="C68" t="s">
        <v>29</v>
      </c>
      <c r="G68" t="s">
        <v>30</v>
      </c>
      <c r="I68" s="19"/>
      <c r="J68" s="74"/>
    </row>
    <row r="69" spans="1:10" x14ac:dyDescent="0.2">
      <c r="A69" s="16"/>
      <c r="J69" s="6"/>
    </row>
    <row r="70" spans="1:10" ht="16" x14ac:dyDescent="0.2">
      <c r="A70" s="75" t="s">
        <v>31</v>
      </c>
      <c r="B70" s="76"/>
      <c r="C70" s="76"/>
      <c r="D70" s="77"/>
      <c r="E70" s="77"/>
      <c r="F70" s="77"/>
      <c r="G70" s="78"/>
      <c r="H70" s="78"/>
      <c r="I70" s="78"/>
      <c r="J70" s="79"/>
    </row>
    <row r="71" spans="1:10" x14ac:dyDescent="0.2">
      <c r="A71" s="80" t="s">
        <v>32</v>
      </c>
      <c r="J71" s="6"/>
    </row>
    <row r="72" spans="1:10" ht="16" thickBot="1" x14ac:dyDescent="0.25">
      <c r="A72" s="81"/>
      <c r="B72" s="82"/>
      <c r="C72" s="82"/>
      <c r="D72" s="82"/>
      <c r="E72" s="82"/>
      <c r="F72" s="82"/>
      <c r="G72" s="82"/>
      <c r="H72" s="82"/>
      <c r="I72" s="82"/>
      <c r="J72" s="83"/>
    </row>
  </sheetData>
  <mergeCells count="6">
    <mergeCell ref="C65:E65"/>
    <mergeCell ref="A2:C2"/>
    <mergeCell ref="D2:E2"/>
    <mergeCell ref="F2:G2"/>
    <mergeCell ref="H2:I2"/>
    <mergeCell ref="E61:F61"/>
  </mergeCells>
  <conditionalFormatting sqref="G8:I15 F16 G16:G18 I16:I18 H16:H21 G20:G21 I20:I21 G22:I22 G23:G29 I23:I29 H23:H32 F27 G31:G32 I31:I32 G33:I38 F38 G40 I40 H40:H43 G42:G43 I42:I43 G44:I49 F49 G51 I51 H51:H60 G53:G60 I53:I60 F60 G61:I61">
    <cfRule type="cellIs" dxfId="4" priority="5" operator="equal">
      <formula>0</formula>
    </cfRule>
  </conditionalFormatting>
  <conditionalFormatting sqref="J17">
    <cfRule type="cellIs" dxfId="3" priority="4" operator="equal">
      <formula>0</formula>
    </cfRule>
  </conditionalFormatting>
  <conditionalFormatting sqref="J28">
    <cfRule type="cellIs" dxfId="2" priority="3" operator="equal">
      <formula>0</formula>
    </cfRule>
  </conditionalFormatting>
  <conditionalFormatting sqref="J39">
    <cfRule type="cellIs" dxfId="1" priority="2" operator="equal">
      <formula>0</formula>
    </cfRule>
  </conditionalFormatting>
  <conditionalFormatting sqref="J50">
    <cfRule type="cellIs" dxfId="0" priority="1" operator="equal">
      <formula>0</formula>
    </cfRule>
  </conditionalFormatting>
  <pageMargins left="0.7" right="0.7" top="0.78740157499999996" bottom="0.78740157499999996" header="0.3" footer="0.3"/>
  <pageSetup scale="65" orientation="portrait" horizontalDpi="0" verticalDpi="0"/>
</worksheet>
</file>

<file path=docMetadata/LabelInfo.xml><?xml version="1.0" encoding="utf-8"?>
<clbl:labelList xmlns:clbl="http://schemas.microsoft.com/office/2020/mipLabelMetadata">
  <clbl:label id="{39714495-964a-40c0-b501-a86dc79a9ddf}" enabled="0" method="" siteId="{39714495-964a-40c0-b501-a86dc79a9d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Hauser, Claudia</dc:creator>
  <cp:lastModifiedBy>Joel Lev-Tov</cp:lastModifiedBy>
  <cp:lastPrinted>2025-12-10T10:39:50Z</cp:lastPrinted>
  <dcterms:created xsi:type="dcterms:W3CDTF">2024-03-21T14:18:34Z</dcterms:created>
  <dcterms:modified xsi:type="dcterms:W3CDTF">2025-12-30T17:12:40Z</dcterms:modified>
</cp:coreProperties>
</file>