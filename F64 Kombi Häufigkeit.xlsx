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wmhvernetzt-my.sharepoint.com/personal/joel_lev-tov_mhs_zgs_de/Documents/GAC/"/>
    </mc:Choice>
  </mc:AlternateContent>
  <xr:revisionPtr revIDLastSave="38" documentId="8_{33E60893-802D-7B48-861F-DAA92922CD87}" xr6:coauthVersionLast="47" xr6:coauthVersionMax="47" xr10:uidLastSave="{48A69221-EA90-D44F-BE85-08078190388A}"/>
  <bookViews>
    <workbookView xWindow="0" yWindow="740" windowWidth="14700" windowHeight="17220" xr2:uid="{B8575B66-44BA-4026-817C-46C9971BABB9}"/>
  </bookViews>
  <sheets>
    <sheet name="F64 iVm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4" i="1"/>
  <c r="F20" i="1"/>
  <c r="D14" i="1"/>
  <c r="D20" i="1"/>
</calcChain>
</file>

<file path=xl/sharedStrings.xml><?xml version="1.0" encoding="utf-8"?>
<sst xmlns="http://schemas.openxmlformats.org/spreadsheetml/2006/main" count="41" uniqueCount="41">
  <si>
    <t>9-320</t>
  </si>
  <si>
    <t>5-646.0</t>
  </si>
  <si>
    <t>5-646.1</t>
  </si>
  <si>
    <t>5-87</t>
  </si>
  <si>
    <t>5-88</t>
  </si>
  <si>
    <t>5-91</t>
  </si>
  <si>
    <t>Statistisches Bundesamt</t>
  </si>
  <si>
    <t>H11 - Gesundheit</t>
  </si>
  <si>
    <t>Aus dem Krankenhaus entlassene vollstationäre Patienten (einschl. Sterbe- und Stundenfälle) 2024</t>
  </si>
  <si>
    <t>OPS-Code</t>
  </si>
  <si>
    <t>Anzahl</t>
  </si>
  <si>
    <t>-</t>
  </si>
  <si>
    <r>
      <t>DRG-Statistik</t>
    </r>
    <r>
      <rPr>
        <vertAlign val="superscript"/>
        <sz val="11"/>
        <color theme="1"/>
        <rFont val="Statis Sans"/>
        <family val="2"/>
      </rPr>
      <t>1)</t>
    </r>
    <r>
      <rPr>
        <sz val="11"/>
        <color theme="1"/>
        <rFont val="Statis Sans"/>
        <family val="2"/>
      </rPr>
      <t xml:space="preserve"> 2024</t>
    </r>
  </si>
  <si>
    <r>
      <t>Kombinationshäufigkeit</t>
    </r>
    <r>
      <rPr>
        <vertAlign val="superscript"/>
        <sz val="11"/>
        <color theme="1"/>
        <rFont val="Statis Sans"/>
        <family val="2"/>
      </rPr>
      <t>3)</t>
    </r>
  </si>
  <si>
    <t>1) Die Erhebung erstreckt sich auf alle Krankenhäuser, die nach dem DRG-Vergütungssystem</t>
  </si>
  <si>
    <t xml:space="preserve">     abrechnen und dem Anwendungsbereich des § 1 KHEntgG unterliegen.</t>
  </si>
  <si>
    <t>2) Ohne Duplikate auf Ebene des OPS 3- bzw. 4-Stellers.</t>
  </si>
  <si>
    <t xml:space="preserve">3) Pro Patient sind mehrere Operationen und Prozeduren möglich. Für die Abbildung komplexer </t>
  </si>
  <si>
    <t xml:space="preserve">    Eingriffe und Teilmaßnahmen ist bei Operationen in verschiedenen Bereichen eine Zuordnung </t>
  </si>
  <si>
    <t xml:space="preserve">    von mehreren Codes (ohne Duplikate) vorgesehen. Dementsprechend sind gegebenenfalls</t>
  </si>
  <si>
    <t xml:space="preserve">     Mehrfachkodierungen je Behandlungsfall nachgewiesen.</t>
  </si>
  <si>
    <t>Quelle: Statistisches Bundesamt, DRG-Statistik.</t>
  </si>
  <si>
    <t>© Statistisches Bundesamt (Destatis), Wiesbaden, 2025</t>
  </si>
  <si>
    <t>Vervielfältigung und Verbreitung, auch auszugsweise, mit Quellenangabe gestattet.</t>
  </si>
  <si>
    <r>
      <t>in Verbindung mit ausgewählten OPS-Codes</t>
    </r>
    <r>
      <rPr>
        <vertAlign val="superscript"/>
        <sz val="11"/>
        <color theme="1"/>
        <rFont val="Statis Sans"/>
        <family val="2"/>
      </rPr>
      <t>2)</t>
    </r>
  </si>
  <si>
    <r>
      <t xml:space="preserve">Patienten mit einer </t>
    </r>
    <r>
      <rPr>
        <b/>
        <sz val="11"/>
        <color theme="1"/>
        <rFont val="Statis Sans"/>
        <family val="2"/>
      </rPr>
      <t>Hauptdiagnose F64</t>
    </r>
  </si>
  <si>
    <t>5-646.x</t>
  </si>
  <si>
    <t>5-646.y</t>
  </si>
  <si>
    <t>Beschreibung</t>
  </si>
  <si>
    <t>Mastektomie</t>
  </si>
  <si>
    <t>Brustaufbau</t>
  </si>
  <si>
    <t>Stimmtherapie</t>
  </si>
  <si>
    <t>MzF Genitalien</t>
  </si>
  <si>
    <t>FzM Genitalien</t>
  </si>
  <si>
    <t>Sonstige</t>
  </si>
  <si>
    <t>N.n. bez</t>
  </si>
  <si>
    <t>Haarentfernung, Haartransplantion, Hautentfernung</t>
  </si>
  <si>
    <t>Zahl 5-646 Ops:</t>
  </si>
  <si>
    <t>Unterschied</t>
  </si>
  <si>
    <t>Zahl F64 Diagnosen 2024:</t>
  </si>
  <si>
    <t>Zahl 5-646 UND F64: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</si>
</sst>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Statis Sans"/>
      <family val="2"/>
    </font>
    <font>
      <sz val="11"/>
      <color theme="1"/>
      <name val="Statis Sans"/>
      <family val="2"/>
    </font>
    <font>
      <b/>
      <sz val="11"/>
      <color theme="1"/>
      <name val="Statis Sans"/>
      <family val="2"/>
    </font>
    <font>
      <vertAlign val="superscript"/>
      <sz val="11"/>
      <color theme="1"/>
      <name val="Statis Sans"/>
      <family val="2"/>
    </font>
    <font>
      <sz val="9"/>
      <color theme="1"/>
      <name val="Statis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FE95-4574-4CD2-BE7E-8E30E613FEAB}">
  <dimension ref="A1:F41"/>
  <sheetViews>
    <sheetView tabSelected="1" topLeftCell="A2" workbookViewId="0">
      <selection activeCell="F15" sqref="F15"/>
    </sheetView>
  </sheetViews>
  <sheetFormatPr baseColWidth="10" defaultRowHeight="14"/>
  <cols>
    <col min="1" max="1" width="11" style="2"/>
  </cols>
  <sheetData>
    <row r="1" spans="1:6">
      <c r="A1" s="2" t="s">
        <v>6</v>
      </c>
    </row>
    <row r="2" spans="1:6">
      <c r="A2" s="2" t="s">
        <v>7</v>
      </c>
    </row>
    <row r="5" spans="1:6" ht="15">
      <c r="A5" s="2" t="s">
        <v>12</v>
      </c>
    </row>
    <row r="6" spans="1:6">
      <c r="A6" s="2" t="s">
        <v>8</v>
      </c>
    </row>
    <row r="7" spans="1:6" ht="15">
      <c r="A7" s="2" t="s">
        <v>25</v>
      </c>
    </row>
    <row r="8" spans="1:6" ht="15">
      <c r="A8" s="2" t="s">
        <v>24</v>
      </c>
    </row>
    <row r="9" spans="1:6" ht="15">
      <c r="A9" s="2" t="s">
        <v>13</v>
      </c>
    </row>
    <row r="11" spans="1:6">
      <c r="A11" s="3" t="s">
        <v>9</v>
      </c>
      <c r="B11" t="s">
        <v>28</v>
      </c>
      <c r="C11" s="4" t="s">
        <v>10</v>
      </c>
    </row>
    <row r="13" spans="1:6">
      <c r="A13" s="2" t="s">
        <v>3</v>
      </c>
      <c r="B13" t="s">
        <v>29</v>
      </c>
      <c r="C13">
        <v>2165</v>
      </c>
      <c r="E13" t="s">
        <v>39</v>
      </c>
    </row>
    <row r="14" spans="1:6">
      <c r="D14">
        <f>C13+C15</f>
        <v>3924</v>
      </c>
      <c r="E14">
        <v>6303</v>
      </c>
      <c r="F14" t="str">
        <f>"Heißt " &amp; ROUND((D14/E14*100),0) &amp; "% haben eine Masktektomie oder Brustaufbau gemacht"</f>
        <v>Heißt 62% haben eine Masktektomie oder Brustaufbau gemacht</v>
      </c>
    </row>
    <row r="15" spans="1:6">
      <c r="A15" s="2" t="s">
        <v>4</v>
      </c>
      <c r="B15" t="s">
        <v>30</v>
      </c>
      <c r="C15">
        <v>1759</v>
      </c>
      <c r="F15" t="str">
        <f>"… während " &amp; ROUND((D20/E14*100), 0) &amp; "% eine Genital OP gemacht haben"</f>
        <v>… während 55% eine Genital OP gemacht haben</v>
      </c>
    </row>
    <row r="17" spans="1:6">
      <c r="A17" s="2" t="s">
        <v>0</v>
      </c>
      <c r="B17" t="s">
        <v>31</v>
      </c>
      <c r="C17">
        <v>3</v>
      </c>
    </row>
    <row r="19" spans="1:6">
      <c r="A19" s="2" t="s">
        <v>1</v>
      </c>
      <c r="B19" t="s">
        <v>32</v>
      </c>
      <c r="C19">
        <v>2111</v>
      </c>
      <c r="D19" t="s">
        <v>40</v>
      </c>
      <c r="E19" t="s">
        <v>37</v>
      </c>
      <c r="F19" t="s">
        <v>38</v>
      </c>
    </row>
    <row r="20" spans="1:6">
      <c r="D20">
        <f>C19+C21</f>
        <v>3469</v>
      </c>
      <c r="E20">
        <v>3520</v>
      </c>
      <c r="F20" t="str">
        <f>(E20-D20) &amp; "wurden nicht mit F46 diagnostiziert"</f>
        <v>51wurden nicht mit F46 diagnostiziert</v>
      </c>
    </row>
    <row r="21" spans="1:6">
      <c r="A21" s="2" t="s">
        <v>2</v>
      </c>
      <c r="B21" t="s">
        <v>33</v>
      </c>
      <c r="C21">
        <v>1358</v>
      </c>
    </row>
    <row r="23" spans="1:6">
      <c r="A23" s="2" t="s">
        <v>26</v>
      </c>
      <c r="B23" t="s">
        <v>34</v>
      </c>
      <c r="C23">
        <v>4</v>
      </c>
    </row>
    <row r="25" spans="1:6">
      <c r="A25" s="2" t="s">
        <v>27</v>
      </c>
      <c r="B25" t="s">
        <v>35</v>
      </c>
      <c r="C25" s="1" t="s">
        <v>11</v>
      </c>
    </row>
    <row r="27" spans="1:6">
      <c r="A27" s="2" t="s">
        <v>5</v>
      </c>
      <c r="B27" t="s">
        <v>36</v>
      </c>
      <c r="C27">
        <v>956</v>
      </c>
    </row>
    <row r="30" spans="1:6">
      <c r="A30" s="6" t="s">
        <v>14</v>
      </c>
    </row>
    <row r="31" spans="1:6">
      <c r="A31" s="6" t="s">
        <v>15</v>
      </c>
    </row>
    <row r="32" spans="1:6">
      <c r="A32" s="6" t="s">
        <v>16</v>
      </c>
    </row>
    <row r="33" spans="1:1">
      <c r="A33" s="6" t="s">
        <v>17</v>
      </c>
    </row>
    <row r="34" spans="1:1">
      <c r="A34" s="6" t="s">
        <v>18</v>
      </c>
    </row>
    <row r="35" spans="1:1">
      <c r="A35" s="6" t="s">
        <v>19</v>
      </c>
    </row>
    <row r="36" spans="1:1">
      <c r="A36" s="6" t="s">
        <v>20</v>
      </c>
    </row>
    <row r="38" spans="1:1">
      <c r="A38" s="5" t="s">
        <v>21</v>
      </c>
    </row>
    <row r="40" spans="1:1">
      <c r="A40" s="5" t="s">
        <v>22</v>
      </c>
    </row>
    <row r="41" spans="1:1">
      <c r="A41" s="5" t="s">
        <v>23</v>
      </c>
    </row>
  </sheetData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39714495-964a-40c0-b501-a86dc79a9ddf}" enabled="0" method="" siteId="{39714495-964a-40c0-b501-a86dc79a9d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F64 iVm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Lev-Tov, Joel</cp:lastModifiedBy>
  <dcterms:created xsi:type="dcterms:W3CDTF">2025-11-25T15:13:31Z</dcterms:created>
  <dcterms:modified xsi:type="dcterms:W3CDTF">2025-12-13T22:32:30Z</dcterms:modified>
</cp:coreProperties>
</file>